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6AA0D3A-F662-40E5-8088-1A1AA3BB05AD}" xr6:coauthVersionLast="47" xr6:coauthVersionMax="47" xr10:uidLastSave="{00000000-0000-0000-0000-000000000000}"/>
  <workbookProtection workbookPassword="CB16" lockStructure="1"/>
  <bookViews>
    <workbookView xWindow="0" yWindow="0" windowWidth="0" windowHeight="0" xr2:uid="{00000000-000D-0000-FFFF-FFFF00000000}"/>
  </bookViews>
  <sheets>
    <sheet name="Agenda" sheetId="1" r:id="rId1"/>
    <sheet name="Legenda" sheetId="2" r:id="rId2"/>
    <sheet name="Dashboard" sheetId="3" r:id="rId3"/>
    <sheet name="Instruçõ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7" i="1" l="1"/>
  <c r="AL17" i="1"/>
  <c r="AM3" i="1"/>
  <c r="AD73" i="1"/>
  <c r="AD59" i="1"/>
  <c r="AD45" i="1"/>
  <c r="AD44" i="1"/>
  <c r="AD31" i="1"/>
  <c r="AD17" i="1"/>
  <c r="AD3" i="1"/>
  <c r="U73" i="1"/>
  <c r="U59" i="1"/>
  <c r="U45" i="1"/>
  <c r="U31" i="1"/>
  <c r="U17" i="1"/>
  <c r="U3" i="1"/>
  <c r="L73" i="1"/>
  <c r="L59" i="1"/>
  <c r="L45" i="1"/>
  <c r="L31" i="1"/>
  <c r="L17" i="1"/>
  <c r="L3" i="1"/>
  <c r="C17" i="1"/>
  <c r="C3" i="1"/>
  <c r="C73" i="1"/>
  <c r="C59" i="1"/>
  <c r="C45" i="1"/>
  <c r="C31" i="1"/>
  <c r="D1" i="1"/>
  <c r="B73" i="1"/>
  <c r="B59" i="1"/>
  <c r="AS75" i="1"/>
  <c r="AP75" i="1"/>
  <c r="AM75" i="1"/>
  <c r="AL3" i="1"/>
  <c r="AC59" i="1"/>
  <c r="AC45" i="1"/>
  <c r="AC31" i="1"/>
  <c r="AC17" i="1"/>
  <c r="AC3" i="1"/>
  <c r="T3" i="1"/>
  <c r="T17" i="1"/>
  <c r="T31" i="1"/>
  <c r="T45" i="1"/>
  <c r="T59" i="1"/>
  <c r="K59" i="1"/>
  <c r="K45" i="1"/>
  <c r="K31" i="1"/>
  <c r="K17" i="1"/>
  <c r="K3" i="1"/>
  <c r="AC73" i="1"/>
  <c r="T73" i="1"/>
  <c r="K73" i="1"/>
  <c r="B45" i="1"/>
  <c r="B31" i="1"/>
  <c r="B17" i="1"/>
  <c r="U30" i="1"/>
  <c r="T30" i="1" s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Wellington Rodrigues de Oliveira</author>
  </authors>
  <commentList>
    <comment ref="C3" authorId="0" shapeId="0" xr:uid="{B56B9BBC-DD4D-4141-B058-9ABEE30DB8C8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E3" authorId="0" shapeId="0" xr:uid="{83FECF24-DF7F-44E2-BFCE-3F6DA93B9821}">
      <text>
        <r>
          <rPr>
            <sz val="11"/>
            <color theme="1"/>
            <rFont val="Calibri"/>
            <family val="2"/>
            <scheme val="minor"/>
          </rPr>
          <t xml:space="preserve">
Selecione a Sala que será utilizada ao clicar no drop down.</t>
        </r>
      </text>
    </comment>
    <comment ref="H3" authorId="0" shapeId="0" xr:uid="{6AC32DAC-DE20-4D85-9DDB-3B4AC224123B}">
      <text>
        <r>
          <rPr>
            <sz val="11"/>
            <color theme="1"/>
            <rFont val="Calibri"/>
            <family val="2"/>
            <scheme val="minor"/>
          </rPr>
          <t xml:space="preserve">
selecione o tipo de atividade que será aplicada ao clicar no drop down. </t>
        </r>
      </text>
    </comment>
    <comment ref="I3" authorId="0" shapeId="0" xr:uid="{2F65C5A2-8229-4B28-8A4A-75F7D39FF9D6}">
      <text>
        <r>
          <rPr>
            <sz val="11"/>
            <color theme="1"/>
            <rFont val="Calibri"/>
            <family val="2"/>
            <scheme val="minor"/>
          </rPr>
          <t xml:space="preserve">
Selecione se o usuário (Compareceu, Faltou, Desmarcou) pelo drop down. 
</t>
        </r>
      </text>
    </comment>
    <comment ref="L3" authorId="0" shapeId="0" xr:uid="{59B4AB42-FA0F-4D20-865D-760C719822BF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U3" authorId="0" shapeId="0" xr:uid="{85DC7E11-2014-431B-813E-5A0C8605AE85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D3" authorId="0" shapeId="0" xr:uid="{6FD871AD-8AC4-4BE6-991D-7F5C1E34EB18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M3" authorId="0" shapeId="0" xr:uid="{12848376-B62F-4195-936B-821F0EE62150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C17" authorId="0" shapeId="0" xr:uid="{81635362-368A-4043-9192-18877C76DC9F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L17" authorId="0" shapeId="0" xr:uid="{4201A993-F798-420B-A804-A391CB46E7D6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U17" authorId="0" shapeId="0" xr:uid="{FCE59C79-1AC6-493A-A5F1-C69DAE2B239C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D17" authorId="0" shapeId="0" xr:uid="{95D44B4A-277D-44C6-9D35-BE67BDB3B5CC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M17" authorId="0" shapeId="0" xr:uid="{B9CA3F92-416B-49C7-A595-C04F20CCC50D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C31" authorId="0" shapeId="0" xr:uid="{13BFCF49-489D-4366-9104-FF3D19807D4D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L31" authorId="0" shapeId="0" xr:uid="{B1E285B9-8975-469D-8AE5-533FE789F70A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U31" authorId="0" shapeId="0" xr:uid="{55EE471C-9294-4437-AB7B-1AD094B3489A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D31" authorId="0" shapeId="0" xr:uid="{27C442C4-4F1F-466D-8CBE-5A8AA273117A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C45" authorId="0" shapeId="0" xr:uid="{C7C923B0-80A6-4D06-AF61-E296F5BCF3A6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L45" authorId="0" shapeId="0" xr:uid="{6D2BD7E2-0A34-4FAD-A9EB-17028F5DBD08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U45" authorId="0" shapeId="0" xr:uid="{A489FEEE-7F49-4691-A468-969829913E2B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D45" authorId="0" shapeId="0" xr:uid="{D3D749E5-1B0E-4CC1-ADEA-B524D8CD4AB8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C59" authorId="0" shapeId="0" xr:uid="{9E82C992-ED77-4167-A4AE-C4C52435C53D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L59" authorId="0" shapeId="0" xr:uid="{A904ACF4-5AE4-4EAD-A2D4-2686E1FF3DD1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U59" authorId="0" shapeId="0" xr:uid="{B8D90318-40B7-491E-A3D0-ADAD301F1B3B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  <comment ref="AD59" authorId="0" shapeId="0" xr:uid="{13477E72-2DDB-49C9-B0BF-DE8C2549C252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automaticamente, junto com o dia da semana na célula do lado esquerdo.</t>
        </r>
      </text>
    </comment>
  </commentList>
</comments>
</file>

<file path=xl/sharedStrings.xml><?xml version="1.0" encoding="utf-8"?>
<sst xmlns="http://schemas.openxmlformats.org/spreadsheetml/2006/main" count="97" uniqueCount="33">
  <si>
    <t>Mês</t>
  </si>
  <si>
    <t>Junho</t>
  </si>
  <si>
    <t>Dia da semana</t>
  </si>
  <si>
    <t>Data</t>
  </si>
  <si>
    <t>Horário</t>
  </si>
  <si>
    <t>Sala</t>
  </si>
  <si>
    <t>Atendimento</t>
  </si>
  <si>
    <t>Paciente</t>
  </si>
  <si>
    <t>Tipo de Atividade</t>
  </si>
  <si>
    <t>Status</t>
  </si>
  <si>
    <t xml:space="preserve">	Sala de Observação</t>
  </si>
  <si>
    <t>Observação</t>
  </si>
  <si>
    <t>Compareceu</t>
  </si>
  <si>
    <t xml:space="preserve">	Sala do(a) Estagiário(a)</t>
  </si>
  <si>
    <t>Desmarcado</t>
  </si>
  <si>
    <t xml:space="preserve">	Sala 04/18 Pessoas</t>
  </si>
  <si>
    <t>Supervisão</t>
  </si>
  <si>
    <t xml:space="preserve">	Sala 06C/5Pessoas</t>
  </si>
  <si>
    <t>TOTAL</t>
  </si>
  <si>
    <t>Atendimentos</t>
  </si>
  <si>
    <t>Faltou</t>
  </si>
  <si>
    <t>Desmarcou</t>
  </si>
  <si>
    <t>Descrição</t>
  </si>
  <si>
    <t>Usuário compareceu ao compromisso</t>
  </si>
  <si>
    <t>Usuário não compareceu</t>
  </si>
  <si>
    <t>Usuário desmarcou</t>
  </si>
  <si>
    <t>Aplicação</t>
  </si>
  <si>
    <t>Avaliação de teste aplicada</t>
  </si>
  <si>
    <t>Sessão com paciente</t>
  </si>
  <si>
    <t>Estudo</t>
  </si>
  <si>
    <t>Atividade acadêmica</t>
  </si>
  <si>
    <t>Supervisão clínica/acadêmica</t>
  </si>
  <si>
    <t>Agenda Bloqueada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</si>
</sst>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8"/>
      <color theme="1"/>
      <name val="Calibri"/>
      <family val="2"/>
      <scheme val="minor"/>
    </font>
    <font>
      <b/>
      <sz val="18"/>
      <color rgb="FFFFFFFF"/>
      <name val="Calibri"/>
    </font>
    <font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ourier New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0" xfId="0" applyFont="1" applyFill="1"/>
    <xf numFmtId="0" fontId="2" fillId="4" borderId="0" xfId="0" applyFont="1" applyFill="1"/>
    <xf numFmtId="0" fontId="3" fillId="2" borderId="0" xfId="0" applyFont="1" applyFill="1"/>
    <xf numFmtId="14" fontId="3" fillId="2" borderId="0" xfId="0" applyNumberFormat="1" applyFont="1" applyFill="1"/>
    <xf numFmtId="0" fontId="2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 applyProtection="1">
      <protection locked="0"/>
    </xf>
    <xf numFmtId="0" fontId="4" fillId="4" borderId="0" xfId="0" applyFont="1" applyFill="1"/>
    <xf numFmtId="14" fontId="4" fillId="4" borderId="0" xfId="0" applyNumberFormat="1" applyFont="1" applyFill="1"/>
    <xf numFmtId="0" fontId="4" fillId="4" borderId="0" xfId="0" applyFont="1" applyFill="1" applyProtection="1">
      <protection locked="0"/>
    </xf>
    <xf numFmtId="14" fontId="2" fillId="4" borderId="0" xfId="0" applyNumberFormat="1" applyFont="1" applyFill="1"/>
    <xf numFmtId="0" fontId="2" fillId="4" borderId="0" xfId="0" applyFont="1" applyFill="1" applyProtection="1">
      <protection locked="0"/>
    </xf>
    <xf numFmtId="20" fontId="2" fillId="4" borderId="0" xfId="0" applyNumberFormat="1" applyFont="1" applyFill="1"/>
    <xf numFmtId="0" fontId="5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9" borderId="0" xfId="0" applyFont="1" applyFill="1"/>
    <xf numFmtId="0" fontId="0" fillId="10" borderId="0" xfId="0" applyFill="1"/>
    <xf numFmtId="0" fontId="9" fillId="0" borderId="0" xfId="0" applyFont="1"/>
    <xf numFmtId="17" fontId="10" fillId="0" borderId="0" xfId="0" applyNumberFormat="1" applyFont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14" fontId="2" fillId="11" borderId="5" xfId="0" applyNumberFormat="1" applyFont="1" applyFill="1" applyBorder="1" applyAlignment="1">
      <alignment horizontal="center" vertical="center"/>
    </xf>
    <xf numFmtId="14" fontId="2" fillId="11" borderId="6" xfId="0" applyNumberFormat="1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295"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1"/>
  <sheetViews>
    <sheetView tabSelected="1" workbookViewId="0">
      <pane ySplit="2" topLeftCell="AI3" activePane="bottomLeft" state="frozen"/>
      <selection pane="bottomLeft" activeCell="AL17" sqref="AL17:AS29"/>
    </sheetView>
  </sheetViews>
  <sheetFormatPr defaultColWidth="9.140625" defaultRowHeight="23.25"/>
  <cols>
    <col min="1" max="1" width="9.140625" style="5"/>
    <col min="2" max="2" width="22" style="5" bestFit="1" customWidth="1"/>
    <col min="3" max="3" width="19" style="6" customWidth="1"/>
    <col min="4" max="4" width="11.85546875" style="5" bestFit="1" customWidth="1"/>
    <col min="5" max="5" width="41.140625" style="5" bestFit="1" customWidth="1"/>
    <col min="6" max="6" width="43.85546875" style="5" customWidth="1"/>
    <col min="7" max="7" width="43.7109375" style="5" customWidth="1"/>
    <col min="8" max="8" width="26.140625" style="5" bestFit="1" customWidth="1"/>
    <col min="9" max="9" width="18.85546875" style="5" bestFit="1" customWidth="1"/>
    <col min="10" max="10" width="12.85546875" style="5" bestFit="1" customWidth="1"/>
    <col min="11" max="11" width="22" style="5" bestFit="1" customWidth="1"/>
    <col min="12" max="12" width="17.7109375" style="5" bestFit="1" customWidth="1"/>
    <col min="13" max="13" width="11.85546875" style="5" bestFit="1" customWidth="1"/>
    <col min="14" max="14" width="41.140625" style="5" bestFit="1" customWidth="1"/>
    <col min="15" max="15" width="44" style="5" customWidth="1"/>
    <col min="16" max="16" width="43.7109375" style="5" customWidth="1"/>
    <col min="17" max="17" width="26.140625" style="5" bestFit="1" customWidth="1"/>
    <col min="18" max="18" width="18.85546875" style="5" bestFit="1" customWidth="1"/>
    <col min="19" max="19" width="9.140625" style="5"/>
    <col min="20" max="20" width="22" style="5" bestFit="1" customWidth="1"/>
    <col min="21" max="21" width="17.7109375" style="5" bestFit="1" customWidth="1"/>
    <col min="22" max="22" width="11.85546875" style="5" bestFit="1" customWidth="1"/>
    <col min="23" max="23" width="46.7109375" style="5" bestFit="1" customWidth="1"/>
    <col min="24" max="24" width="44.5703125" style="5" customWidth="1"/>
    <col min="25" max="25" width="44.28515625" style="5" customWidth="1"/>
    <col min="26" max="26" width="26.140625" style="5" bestFit="1" customWidth="1"/>
    <col min="27" max="27" width="18.85546875" style="5" bestFit="1" customWidth="1"/>
    <col min="28" max="28" width="9.140625" style="5"/>
    <col min="29" max="29" width="22" style="5" bestFit="1" customWidth="1"/>
    <col min="30" max="30" width="17.7109375" style="5" bestFit="1" customWidth="1"/>
    <col min="31" max="31" width="11.85546875" style="5" bestFit="1" customWidth="1"/>
    <col min="32" max="32" width="46.7109375" style="5" bestFit="1" customWidth="1"/>
    <col min="33" max="33" width="44.5703125" style="5" customWidth="1"/>
    <col min="34" max="34" width="44.42578125" style="5" customWidth="1"/>
    <col min="35" max="35" width="26.140625" style="5" bestFit="1" customWidth="1"/>
    <col min="36" max="36" width="18.85546875" style="5" bestFit="1" customWidth="1"/>
    <col min="37" max="37" width="9.140625" style="5"/>
    <col min="38" max="38" width="22" style="5" bestFit="1" customWidth="1"/>
    <col min="39" max="39" width="17.7109375" style="5" bestFit="1" customWidth="1"/>
    <col min="40" max="40" width="11.85546875" style="5" bestFit="1" customWidth="1"/>
    <col min="41" max="41" width="41.140625" style="5" bestFit="1" customWidth="1"/>
    <col min="42" max="42" width="45.28515625" style="5" customWidth="1"/>
    <col min="43" max="43" width="43.42578125" style="5" customWidth="1"/>
    <col min="44" max="44" width="26.140625" style="5" bestFit="1" customWidth="1"/>
    <col min="45" max="45" width="18.85546875" style="5" bestFit="1" customWidth="1"/>
    <col min="46" max="16384" width="9.140625" style="5"/>
  </cols>
  <sheetData>
    <row r="1" spans="1:46" ht="32.25">
      <c r="A1" s="2"/>
      <c r="B1" s="2"/>
      <c r="C1" s="3" t="s">
        <v>0</v>
      </c>
      <c r="D1" s="3">
        <f>MATCH(E1,{"Janeiro";"Fevereiro";"Março";"Abril";"Maio";"Junho";"Julho";"Agosto";"Setembro";"Outubro";"Novembro";"Dezembro"},0)</f>
        <v>6</v>
      </c>
      <c r="E1" s="23" t="s">
        <v>1</v>
      </c>
      <c r="F1" s="33">
        <v>2026</v>
      </c>
    </row>
    <row r="2" spans="1:46">
      <c r="A2" s="2"/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3" t="s">
        <v>2</v>
      </c>
      <c r="L2" s="4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2"/>
      <c r="T2" s="3" t="s">
        <v>2</v>
      </c>
      <c r="U2" s="4" t="s">
        <v>3</v>
      </c>
      <c r="V2" s="3" t="s">
        <v>4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2"/>
      <c r="AC2" s="3" t="s">
        <v>2</v>
      </c>
      <c r="AD2" s="4" t="s">
        <v>3</v>
      </c>
      <c r="AE2" s="3" t="s">
        <v>4</v>
      </c>
      <c r="AF2" s="3" t="s">
        <v>5</v>
      </c>
      <c r="AG2" s="3" t="s">
        <v>6</v>
      </c>
      <c r="AH2" s="3" t="s">
        <v>7</v>
      </c>
      <c r="AI2" s="3" t="s">
        <v>8</v>
      </c>
      <c r="AJ2" s="3" t="s">
        <v>9</v>
      </c>
      <c r="AK2" s="2"/>
      <c r="AL2" s="3" t="s">
        <v>2</v>
      </c>
      <c r="AM2" s="4" t="s">
        <v>3</v>
      </c>
      <c r="AN2" s="3" t="s">
        <v>4</v>
      </c>
      <c r="AO2" s="3" t="s">
        <v>5</v>
      </c>
      <c r="AP2" s="3" t="s">
        <v>6</v>
      </c>
      <c r="AQ2" s="3" t="s">
        <v>7</v>
      </c>
      <c r="AR2" s="3" t="s">
        <v>8</v>
      </c>
      <c r="AS2" s="3" t="s">
        <v>9</v>
      </c>
      <c r="AT2" s="2"/>
    </row>
    <row r="3" spans="1:46" ht="23.25" customHeight="1">
      <c r="A3" s="2"/>
      <c r="B3" s="30" t="str">
        <f>TEXT(C3, "dddd")</f>
        <v>segunda-feira</v>
      </c>
      <c r="C3" s="27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ROW()-3)/14)+INT((COLUMN()-3)/9)*6</f>
        <v>46174</v>
      </c>
      <c r="D3" s="7">
        <v>0.35416666666666669</v>
      </c>
      <c r="E3" s="5" t="s">
        <v>10</v>
      </c>
      <c r="H3" s="5" t="s">
        <v>11</v>
      </c>
      <c r="I3" s="8" t="s">
        <v>12</v>
      </c>
      <c r="J3" s="2"/>
      <c r="K3" s="30" t="str">
        <f>TEXT(L3, "dddd")</f>
        <v>segunda-feira</v>
      </c>
      <c r="L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46181</v>
      </c>
      <c r="M3" s="7">
        <v>0.35416666666666669</v>
      </c>
      <c r="R3" s="8" t="s">
        <v>12</v>
      </c>
      <c r="S3" s="2"/>
      <c r="T3" s="30" t="str">
        <f>TEXT(U3, "dddd")</f>
        <v>segunda-feira</v>
      </c>
      <c r="U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46188</v>
      </c>
      <c r="V3" s="7">
        <v>0.35416666666666669</v>
      </c>
      <c r="W3" s="5" t="s">
        <v>13</v>
      </c>
      <c r="AA3" s="8" t="s">
        <v>12</v>
      </c>
      <c r="AB3" s="2"/>
      <c r="AC3" s="30" t="str">
        <f>TEXT(AD3, "dddd")</f>
        <v>segunda-feira</v>
      </c>
      <c r="AD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46195</v>
      </c>
      <c r="AE3" s="7">
        <v>0.35416666666666669</v>
      </c>
      <c r="AF3" s="5" t="s">
        <v>13</v>
      </c>
      <c r="AI3" s="5" t="s">
        <v>11</v>
      </c>
      <c r="AJ3" s="8" t="s">
        <v>12</v>
      </c>
      <c r="AK3" s="2"/>
      <c r="AL3" s="30" t="str">
        <f>TEXT(AM3, "dddd")</f>
        <v>segunda-feira</v>
      </c>
      <c r="AM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46202</v>
      </c>
      <c r="AN3" s="7">
        <v>0.35416666666666669</v>
      </c>
      <c r="AO3" s="5" t="s">
        <v>13</v>
      </c>
      <c r="AR3" s="5" t="s">
        <v>6</v>
      </c>
      <c r="AS3" s="8" t="s">
        <v>12</v>
      </c>
      <c r="AT3" s="2"/>
    </row>
    <row r="4" spans="1:46" ht="23.25" customHeight="1">
      <c r="A4" s="2"/>
      <c r="B4" s="30"/>
      <c r="C4" s="28"/>
      <c r="D4" s="7">
        <v>0.39583333333333298</v>
      </c>
      <c r="I4" s="8"/>
      <c r="J4" s="2"/>
      <c r="K4" s="30"/>
      <c r="L4" s="25"/>
      <c r="M4" s="7">
        <v>0.39583333333333298</v>
      </c>
      <c r="R4" s="8"/>
      <c r="S4" s="2"/>
      <c r="T4" s="30"/>
      <c r="U4" s="25"/>
      <c r="V4" s="7">
        <v>0.39583333333333298</v>
      </c>
      <c r="AA4" s="8" t="s">
        <v>12</v>
      </c>
      <c r="AB4" s="2"/>
      <c r="AC4" s="30"/>
      <c r="AD4" s="25"/>
      <c r="AE4" s="7">
        <v>0.39583333333333298</v>
      </c>
      <c r="AJ4" s="8"/>
      <c r="AK4" s="2"/>
      <c r="AL4" s="30"/>
      <c r="AM4" s="25"/>
      <c r="AN4" s="7">
        <v>0.39583333333333298</v>
      </c>
      <c r="AS4" s="8" t="s">
        <v>14</v>
      </c>
      <c r="AT4" s="2"/>
    </row>
    <row r="5" spans="1:46" ht="23.25" customHeight="1">
      <c r="A5" s="2"/>
      <c r="B5" s="30"/>
      <c r="C5" s="28"/>
      <c r="D5" s="7">
        <v>0.4375</v>
      </c>
      <c r="I5" s="8"/>
      <c r="J5" s="2"/>
      <c r="K5" s="30"/>
      <c r="L5" s="25"/>
      <c r="M5" s="7">
        <v>0.4375</v>
      </c>
      <c r="R5" s="8"/>
      <c r="S5" s="2"/>
      <c r="T5" s="30"/>
      <c r="U5" s="25"/>
      <c r="V5" s="7">
        <v>0.4375</v>
      </c>
      <c r="AA5" s="8"/>
      <c r="AB5" s="2"/>
      <c r="AC5" s="30"/>
      <c r="AD5" s="25"/>
      <c r="AE5" s="7">
        <v>0.4375</v>
      </c>
      <c r="AJ5" s="8"/>
      <c r="AK5" s="2"/>
      <c r="AL5" s="30"/>
      <c r="AM5" s="25"/>
      <c r="AN5" s="7">
        <v>0.4375</v>
      </c>
      <c r="AS5" s="8"/>
      <c r="AT5" s="2"/>
    </row>
    <row r="6" spans="1:46" ht="23.25" customHeight="1">
      <c r="A6" s="2"/>
      <c r="B6" s="30"/>
      <c r="C6" s="28"/>
      <c r="D6" s="7">
        <v>0.47916666666666702</v>
      </c>
      <c r="I6" s="8"/>
      <c r="J6" s="2"/>
      <c r="K6" s="30"/>
      <c r="L6" s="25"/>
      <c r="M6" s="7">
        <v>0.47916666666666702</v>
      </c>
      <c r="R6" s="8"/>
      <c r="S6" s="2"/>
      <c r="T6" s="30"/>
      <c r="U6" s="25"/>
      <c r="V6" s="7">
        <v>0.47916666666666702</v>
      </c>
      <c r="AA6" s="8"/>
      <c r="AB6" s="2"/>
      <c r="AC6" s="30"/>
      <c r="AD6" s="25"/>
      <c r="AE6" s="7">
        <v>0.47916666666666702</v>
      </c>
      <c r="AJ6" s="8"/>
      <c r="AK6" s="2"/>
      <c r="AL6" s="30"/>
      <c r="AM6" s="25"/>
      <c r="AN6" s="7">
        <v>0.47916666666666702</v>
      </c>
      <c r="AS6" s="8"/>
      <c r="AT6" s="2"/>
    </row>
    <row r="7" spans="1:46" ht="23.25" customHeight="1">
      <c r="A7" s="2"/>
      <c r="B7" s="30"/>
      <c r="C7" s="28"/>
      <c r="D7" s="7">
        <v>0.52083333333333304</v>
      </c>
      <c r="I7" s="8"/>
      <c r="J7" s="2"/>
      <c r="K7" s="30"/>
      <c r="L7" s="25"/>
      <c r="M7" s="7">
        <v>0.52083333333333304</v>
      </c>
      <c r="R7" s="8"/>
      <c r="S7" s="2"/>
      <c r="T7" s="30"/>
      <c r="U7" s="25"/>
      <c r="V7" s="7">
        <v>0.52083333333333304</v>
      </c>
      <c r="AA7" s="8"/>
      <c r="AB7" s="2"/>
      <c r="AC7" s="30"/>
      <c r="AD7" s="25"/>
      <c r="AE7" s="7">
        <v>0.52083333333333304</v>
      </c>
      <c r="AJ7" s="8"/>
      <c r="AK7" s="2"/>
      <c r="AL7" s="30"/>
      <c r="AM7" s="25"/>
      <c r="AN7" s="7">
        <v>0.52083333333333304</v>
      </c>
      <c r="AS7" s="8"/>
      <c r="AT7" s="2"/>
    </row>
    <row r="8" spans="1:46" ht="23.25" customHeight="1">
      <c r="A8" s="2"/>
      <c r="B8" s="30"/>
      <c r="C8" s="28"/>
      <c r="D8" s="7">
        <v>0.5625</v>
      </c>
      <c r="I8" s="8"/>
      <c r="J8" s="2"/>
      <c r="K8" s="30"/>
      <c r="L8" s="25"/>
      <c r="M8" s="7">
        <v>0.5625</v>
      </c>
      <c r="R8" s="8"/>
      <c r="S8" s="2"/>
      <c r="T8" s="30"/>
      <c r="U8" s="25"/>
      <c r="V8" s="7">
        <v>0.5625</v>
      </c>
      <c r="AA8" s="8"/>
      <c r="AB8" s="2"/>
      <c r="AC8" s="30"/>
      <c r="AD8" s="25"/>
      <c r="AE8" s="7">
        <v>0.5625</v>
      </c>
      <c r="AJ8" s="8"/>
      <c r="AK8" s="2"/>
      <c r="AL8" s="30"/>
      <c r="AM8" s="25"/>
      <c r="AN8" s="7">
        <v>0.5625</v>
      </c>
      <c r="AS8" s="8"/>
      <c r="AT8" s="2"/>
    </row>
    <row r="9" spans="1:46" ht="23.25" customHeight="1">
      <c r="A9" s="2"/>
      <c r="B9" s="30"/>
      <c r="C9" s="28"/>
      <c r="D9" s="7">
        <v>0.60416666666666696</v>
      </c>
      <c r="I9" s="8"/>
      <c r="J9" s="2"/>
      <c r="K9" s="30"/>
      <c r="L9" s="25"/>
      <c r="M9" s="7">
        <v>0.60416666666666696</v>
      </c>
      <c r="R9" s="8"/>
      <c r="S9" s="2"/>
      <c r="T9" s="30"/>
      <c r="U9" s="25"/>
      <c r="V9" s="7">
        <v>0.60416666666666696</v>
      </c>
      <c r="AA9" s="8"/>
      <c r="AB9" s="2"/>
      <c r="AC9" s="30"/>
      <c r="AD9" s="25"/>
      <c r="AE9" s="7">
        <v>0.60416666666666696</v>
      </c>
      <c r="AJ9" s="8"/>
      <c r="AK9" s="2"/>
      <c r="AL9" s="30"/>
      <c r="AM9" s="25"/>
      <c r="AN9" s="7">
        <v>0.60416666666666696</v>
      </c>
      <c r="AS9" s="8"/>
      <c r="AT9" s="2"/>
    </row>
    <row r="10" spans="1:46" ht="23.25" customHeight="1">
      <c r="A10" s="2"/>
      <c r="B10" s="30"/>
      <c r="C10" s="28"/>
      <c r="D10" s="7">
        <v>0.64583333333333304</v>
      </c>
      <c r="I10" s="8"/>
      <c r="J10" s="2"/>
      <c r="K10" s="30"/>
      <c r="L10" s="25"/>
      <c r="M10" s="7">
        <v>0.64583333333333304</v>
      </c>
      <c r="R10" s="8"/>
      <c r="S10" s="2"/>
      <c r="T10" s="30"/>
      <c r="U10" s="25"/>
      <c r="V10" s="7">
        <v>0.64583333333333304</v>
      </c>
      <c r="AA10" s="8"/>
      <c r="AB10" s="2"/>
      <c r="AC10" s="30"/>
      <c r="AD10" s="25"/>
      <c r="AE10" s="7">
        <v>0.64583333333333304</v>
      </c>
      <c r="AJ10" s="8"/>
      <c r="AK10" s="2"/>
      <c r="AL10" s="30"/>
      <c r="AM10" s="25"/>
      <c r="AN10" s="7">
        <v>0.64583333333333304</v>
      </c>
      <c r="AS10" s="8"/>
      <c r="AT10" s="2"/>
    </row>
    <row r="11" spans="1:46" ht="23.25" customHeight="1">
      <c r="A11" s="2"/>
      <c r="B11" s="30"/>
      <c r="C11" s="28"/>
      <c r="D11" s="7">
        <v>0.6875</v>
      </c>
      <c r="I11" s="8"/>
      <c r="J11" s="2"/>
      <c r="K11" s="30"/>
      <c r="L11" s="25"/>
      <c r="M11" s="7">
        <v>0.6875</v>
      </c>
      <c r="R11" s="8"/>
      <c r="S11" s="2"/>
      <c r="T11" s="30"/>
      <c r="U11" s="25"/>
      <c r="V11" s="7">
        <v>0.6875</v>
      </c>
      <c r="AA11" s="8"/>
      <c r="AB11" s="2"/>
      <c r="AC11" s="30"/>
      <c r="AD11" s="25"/>
      <c r="AE11" s="7">
        <v>0.6875</v>
      </c>
      <c r="AJ11" s="8"/>
      <c r="AK11" s="2"/>
      <c r="AL11" s="30"/>
      <c r="AM11" s="25"/>
      <c r="AN11" s="7">
        <v>0.6875</v>
      </c>
      <c r="AS11" s="8"/>
      <c r="AT11" s="2"/>
    </row>
    <row r="12" spans="1:46" ht="23.25" customHeight="1">
      <c r="A12" s="2"/>
      <c r="B12" s="30"/>
      <c r="C12" s="28"/>
      <c r="D12" s="7">
        <v>0.72916666666666696</v>
      </c>
      <c r="I12" s="8"/>
      <c r="J12" s="2"/>
      <c r="K12" s="30"/>
      <c r="L12" s="25"/>
      <c r="M12" s="7">
        <v>0.72916666666666696</v>
      </c>
      <c r="R12" s="8"/>
      <c r="S12" s="2"/>
      <c r="T12" s="30"/>
      <c r="U12" s="25"/>
      <c r="V12" s="7">
        <v>0.72916666666666696</v>
      </c>
      <c r="AA12" s="8"/>
      <c r="AB12" s="2"/>
      <c r="AC12" s="30"/>
      <c r="AD12" s="25"/>
      <c r="AE12" s="7">
        <v>0.72916666666666696</v>
      </c>
      <c r="AJ12" s="8"/>
      <c r="AK12" s="2"/>
      <c r="AL12" s="30"/>
      <c r="AM12" s="25"/>
      <c r="AN12" s="7">
        <v>0.72916666666666696</v>
      </c>
      <c r="AS12" s="8"/>
      <c r="AT12" s="2"/>
    </row>
    <row r="13" spans="1:46" ht="23.25" customHeight="1">
      <c r="A13" s="2"/>
      <c r="B13" s="30"/>
      <c r="C13" s="28"/>
      <c r="D13" s="7">
        <v>0.77083333333333304</v>
      </c>
      <c r="I13" s="8"/>
      <c r="J13" s="2"/>
      <c r="K13" s="30"/>
      <c r="L13" s="25"/>
      <c r="M13" s="7">
        <v>0.77083333333333304</v>
      </c>
      <c r="R13" s="8"/>
      <c r="S13" s="2"/>
      <c r="T13" s="30"/>
      <c r="U13" s="25"/>
      <c r="V13" s="7">
        <v>0.77083333333333304</v>
      </c>
      <c r="AA13" s="8"/>
      <c r="AB13" s="2"/>
      <c r="AC13" s="30"/>
      <c r="AD13" s="25"/>
      <c r="AE13" s="7">
        <v>0.77083333333333304</v>
      </c>
      <c r="AJ13" s="8"/>
      <c r="AK13" s="2"/>
      <c r="AL13" s="30"/>
      <c r="AM13" s="25"/>
      <c r="AN13" s="7">
        <v>0.77083333333333304</v>
      </c>
      <c r="AS13" s="8"/>
      <c r="AT13" s="2"/>
    </row>
    <row r="14" spans="1:46" ht="23.25" customHeight="1">
      <c r="A14" s="2"/>
      <c r="B14" s="30"/>
      <c r="C14" s="28"/>
      <c r="D14" s="7">
        <v>0.812499999999996</v>
      </c>
      <c r="I14" s="8"/>
      <c r="J14" s="2"/>
      <c r="K14" s="30"/>
      <c r="L14" s="25"/>
      <c r="M14" s="7">
        <v>0.812499999999996</v>
      </c>
      <c r="R14" s="8"/>
      <c r="S14" s="2"/>
      <c r="T14" s="30"/>
      <c r="U14" s="25"/>
      <c r="V14" s="7">
        <v>0.812499999999996</v>
      </c>
      <c r="AA14" s="8"/>
      <c r="AB14" s="2"/>
      <c r="AC14" s="30"/>
      <c r="AD14" s="25"/>
      <c r="AE14" s="7">
        <v>0.812499999999996</v>
      </c>
      <c r="AJ14" s="8"/>
      <c r="AK14" s="2"/>
      <c r="AL14" s="30"/>
      <c r="AM14" s="25"/>
      <c r="AN14" s="7">
        <v>0.812499999999996</v>
      </c>
      <c r="AS14" s="8"/>
      <c r="AT14" s="2"/>
    </row>
    <row r="15" spans="1:46" ht="23.25" customHeight="1">
      <c r="A15" s="2"/>
      <c r="B15" s="30"/>
      <c r="C15" s="29"/>
      <c r="D15" s="7">
        <v>0.85416666666666297</v>
      </c>
      <c r="I15" s="8"/>
      <c r="J15" s="2"/>
      <c r="K15" s="30"/>
      <c r="L15" s="26"/>
      <c r="M15" s="7">
        <v>0.85416666666666297</v>
      </c>
      <c r="R15" s="8"/>
      <c r="S15" s="2"/>
      <c r="T15" s="30"/>
      <c r="U15" s="26"/>
      <c r="V15" s="7">
        <v>0.85416666666666297</v>
      </c>
      <c r="AA15" s="8"/>
      <c r="AB15" s="2"/>
      <c r="AC15" s="30"/>
      <c r="AD15" s="26"/>
      <c r="AE15" s="7">
        <v>0.85416666666666297</v>
      </c>
      <c r="AJ15" s="8"/>
      <c r="AK15" s="2"/>
      <c r="AL15" s="30"/>
      <c r="AM15" s="26"/>
      <c r="AN15" s="7">
        <v>0.85416666666666297</v>
      </c>
      <c r="AS15" s="8"/>
      <c r="AT15" s="2"/>
    </row>
    <row r="16" spans="1:46">
      <c r="A16" s="2"/>
      <c r="B16" s="9"/>
      <c r="C16" s="10"/>
      <c r="D16" s="9"/>
      <c r="E16" s="9"/>
      <c r="F16" s="9"/>
      <c r="G16" s="9"/>
      <c r="H16" s="9"/>
      <c r="I16" s="11"/>
      <c r="J16" s="2"/>
      <c r="K16" s="2"/>
      <c r="L16" s="2"/>
      <c r="M16" s="2"/>
      <c r="N16" s="9"/>
      <c r="O16" s="2"/>
      <c r="P16" s="2"/>
      <c r="Q16" s="9"/>
      <c r="R16" s="11"/>
      <c r="S16" s="2"/>
      <c r="T16" s="9"/>
      <c r="U16" s="10"/>
      <c r="V16" s="9"/>
      <c r="W16" s="9"/>
      <c r="X16" s="9"/>
      <c r="Y16" s="9"/>
      <c r="Z16" s="9"/>
      <c r="AA16" s="11"/>
      <c r="AB16" s="2"/>
      <c r="AC16" s="2"/>
      <c r="AD16" s="2"/>
      <c r="AE16" s="2"/>
      <c r="AF16" s="9"/>
      <c r="AG16" s="2"/>
      <c r="AH16" s="2"/>
      <c r="AI16" s="9"/>
      <c r="AJ16" s="11"/>
      <c r="AK16" s="2"/>
      <c r="AL16" s="2"/>
      <c r="AM16" s="2"/>
      <c r="AN16" s="2"/>
      <c r="AO16" s="9"/>
      <c r="AP16" s="2"/>
      <c r="AQ16" s="2"/>
      <c r="AR16" s="9"/>
      <c r="AS16" s="11"/>
      <c r="AT16" s="2"/>
    </row>
    <row r="17" spans="1:46" ht="23.25" customHeight="1">
      <c r="A17" s="2"/>
      <c r="B17" s="30" t="str">
        <f>TEXT(C17, "dddd")</f>
        <v>terça-feira</v>
      </c>
      <c r="C17" s="27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ROW()-3)/14)+INT((COLUMN()-3)/9)*6</f>
        <v>46175</v>
      </c>
      <c r="D17" s="7">
        <v>0.35416666666666669</v>
      </c>
      <c r="H17" s="5" t="s">
        <v>11</v>
      </c>
      <c r="I17" s="8"/>
      <c r="J17" s="2"/>
      <c r="K17" s="30" t="str">
        <f>TEXT(L17, "dddd")</f>
        <v>terça-feira</v>
      </c>
      <c r="L17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46182</v>
      </c>
      <c r="M17" s="7">
        <v>0.35416666666666669</v>
      </c>
      <c r="N17" s="5" t="s">
        <v>15</v>
      </c>
      <c r="Q17" s="5" t="s">
        <v>16</v>
      </c>
      <c r="R17" s="8"/>
      <c r="S17" s="2"/>
      <c r="T17" s="30" t="str">
        <f>TEXT(U17, "dddd")</f>
        <v>terça-feira</v>
      </c>
      <c r="U17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46189</v>
      </c>
      <c r="V17" s="7">
        <v>0.35416666666666669</v>
      </c>
      <c r="AA17" s="8"/>
      <c r="AB17" s="2"/>
      <c r="AC17" s="30" t="str">
        <f>TEXT(AD17, "dddd")</f>
        <v>terça-feira</v>
      </c>
      <c r="AD17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46196</v>
      </c>
      <c r="AE17" s="7">
        <v>0.35416666666666669</v>
      </c>
      <c r="AF17" s="5" t="s">
        <v>13</v>
      </c>
      <c r="AJ17" s="8"/>
      <c r="AK17" s="2"/>
      <c r="AL17" s="30" t="str">
        <f>TEXT(AM17, "dddd")</f>
        <v>terça-feira</v>
      </c>
      <c r="AM17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46203</v>
      </c>
      <c r="AN17" s="7">
        <v>0.35416666666666669</v>
      </c>
      <c r="AO17" s="5" t="s">
        <v>13</v>
      </c>
      <c r="AR17" s="5" t="s">
        <v>6</v>
      </c>
      <c r="AS17" s="8" t="s">
        <v>12</v>
      </c>
      <c r="AT17" s="2"/>
    </row>
    <row r="18" spans="1:46" ht="23.25" customHeight="1">
      <c r="A18" s="2"/>
      <c r="B18" s="30"/>
      <c r="C18" s="28"/>
      <c r="D18" s="7">
        <v>0.39583333333333298</v>
      </c>
      <c r="I18" s="8"/>
      <c r="J18" s="2"/>
      <c r="K18" s="30"/>
      <c r="L18" s="25"/>
      <c r="M18" s="7">
        <v>0.39583333333333298</v>
      </c>
      <c r="R18" s="8"/>
      <c r="S18" s="2"/>
      <c r="T18" s="30"/>
      <c r="U18" s="25"/>
      <c r="V18" s="7">
        <v>0.39583333333333298</v>
      </c>
      <c r="AA18" s="8"/>
      <c r="AB18" s="2"/>
      <c r="AC18" s="30"/>
      <c r="AD18" s="25"/>
      <c r="AE18" s="7">
        <v>0.39583333333333298</v>
      </c>
      <c r="AJ18" s="8"/>
      <c r="AK18" s="2"/>
      <c r="AL18" s="30"/>
      <c r="AM18" s="25"/>
      <c r="AN18" s="7">
        <v>0.39583333333333298</v>
      </c>
      <c r="AS18" s="8" t="s">
        <v>14</v>
      </c>
      <c r="AT18" s="2"/>
    </row>
    <row r="19" spans="1:46" ht="23.25" customHeight="1">
      <c r="A19" s="2"/>
      <c r="B19" s="30"/>
      <c r="C19" s="28"/>
      <c r="D19" s="7">
        <v>0.4375</v>
      </c>
      <c r="I19" s="8"/>
      <c r="J19" s="2"/>
      <c r="K19" s="30"/>
      <c r="L19" s="25"/>
      <c r="M19" s="7">
        <v>0.4375</v>
      </c>
      <c r="R19" s="8"/>
      <c r="S19" s="2"/>
      <c r="T19" s="30"/>
      <c r="U19" s="25"/>
      <c r="V19" s="7">
        <v>0.4375</v>
      </c>
      <c r="AA19" s="8"/>
      <c r="AB19" s="2"/>
      <c r="AC19" s="30"/>
      <c r="AD19" s="25"/>
      <c r="AE19" s="7">
        <v>0.4375</v>
      </c>
      <c r="AJ19" s="8"/>
      <c r="AK19" s="2"/>
      <c r="AL19" s="30"/>
      <c r="AM19" s="25"/>
      <c r="AN19" s="7">
        <v>0.4375</v>
      </c>
      <c r="AS19" s="8"/>
      <c r="AT19" s="2"/>
    </row>
    <row r="20" spans="1:46">
      <c r="A20" s="2"/>
      <c r="B20" s="30"/>
      <c r="C20" s="28"/>
      <c r="D20" s="7">
        <v>0.47916666666666702</v>
      </c>
      <c r="I20" s="8"/>
      <c r="J20" s="2"/>
      <c r="K20" s="30"/>
      <c r="L20" s="25"/>
      <c r="M20" s="7">
        <v>0.47916666666666702</v>
      </c>
      <c r="R20" s="8"/>
      <c r="S20" s="2"/>
      <c r="T20" s="30"/>
      <c r="U20" s="25"/>
      <c r="V20" s="7">
        <v>0.47916666666666702</v>
      </c>
      <c r="AA20" s="8"/>
      <c r="AB20" s="2"/>
      <c r="AC20" s="30"/>
      <c r="AD20" s="25"/>
      <c r="AE20" s="7">
        <v>0.47916666666666702</v>
      </c>
      <c r="AJ20" s="8"/>
      <c r="AK20" s="2"/>
      <c r="AL20" s="30"/>
      <c r="AM20" s="25"/>
      <c r="AN20" s="7">
        <v>0.47916666666666702</v>
      </c>
      <c r="AS20" s="8"/>
      <c r="AT20" s="2"/>
    </row>
    <row r="21" spans="1:46">
      <c r="A21" s="2"/>
      <c r="B21" s="30"/>
      <c r="C21" s="28"/>
      <c r="D21" s="7">
        <v>0.52083333333333304</v>
      </c>
      <c r="I21" s="8"/>
      <c r="J21" s="2"/>
      <c r="K21" s="30"/>
      <c r="L21" s="25"/>
      <c r="M21" s="7">
        <v>0.52083333333333304</v>
      </c>
      <c r="R21" s="8"/>
      <c r="S21" s="2"/>
      <c r="T21" s="30"/>
      <c r="U21" s="25"/>
      <c r="V21" s="7">
        <v>0.52083333333333304</v>
      </c>
      <c r="AA21" s="8"/>
      <c r="AB21" s="2"/>
      <c r="AC21" s="30"/>
      <c r="AD21" s="25"/>
      <c r="AE21" s="7">
        <v>0.52083333333333304</v>
      </c>
      <c r="AJ21" s="8"/>
      <c r="AK21" s="2"/>
      <c r="AL21" s="30"/>
      <c r="AM21" s="25"/>
      <c r="AN21" s="7">
        <v>0.52083333333333304</v>
      </c>
      <c r="AS21" s="8"/>
      <c r="AT21" s="2"/>
    </row>
    <row r="22" spans="1:46">
      <c r="A22" s="2"/>
      <c r="B22" s="30"/>
      <c r="C22" s="28"/>
      <c r="D22" s="7">
        <v>0.5625</v>
      </c>
      <c r="I22" s="8"/>
      <c r="J22" s="2"/>
      <c r="K22" s="30"/>
      <c r="L22" s="25"/>
      <c r="M22" s="7">
        <v>0.5625</v>
      </c>
      <c r="R22" s="8"/>
      <c r="S22" s="2"/>
      <c r="T22" s="30"/>
      <c r="U22" s="25"/>
      <c r="V22" s="7">
        <v>0.5625</v>
      </c>
      <c r="AA22" s="8"/>
      <c r="AB22" s="2"/>
      <c r="AC22" s="30"/>
      <c r="AD22" s="25"/>
      <c r="AE22" s="7">
        <v>0.5625</v>
      </c>
      <c r="AJ22" s="8"/>
      <c r="AK22" s="2"/>
      <c r="AL22" s="30"/>
      <c r="AM22" s="25"/>
      <c r="AN22" s="7">
        <v>0.5625</v>
      </c>
      <c r="AS22" s="8"/>
      <c r="AT22" s="2"/>
    </row>
    <row r="23" spans="1:46">
      <c r="A23" s="2"/>
      <c r="B23" s="30"/>
      <c r="C23" s="28"/>
      <c r="D23" s="7">
        <v>0.60416666666666696</v>
      </c>
      <c r="I23" s="8"/>
      <c r="J23" s="2"/>
      <c r="K23" s="30"/>
      <c r="L23" s="25"/>
      <c r="M23" s="7">
        <v>0.60416666666666696</v>
      </c>
      <c r="R23" s="8"/>
      <c r="S23" s="2"/>
      <c r="T23" s="30"/>
      <c r="U23" s="25"/>
      <c r="V23" s="7">
        <v>0.60416666666666696</v>
      </c>
      <c r="AA23" s="8"/>
      <c r="AB23" s="2"/>
      <c r="AC23" s="30"/>
      <c r="AD23" s="25"/>
      <c r="AE23" s="7">
        <v>0.60416666666666696</v>
      </c>
      <c r="AJ23" s="8"/>
      <c r="AK23" s="2"/>
      <c r="AL23" s="30"/>
      <c r="AM23" s="25"/>
      <c r="AN23" s="7">
        <v>0.60416666666666696</v>
      </c>
      <c r="AS23" s="8"/>
      <c r="AT23" s="2"/>
    </row>
    <row r="24" spans="1:46">
      <c r="A24" s="2"/>
      <c r="B24" s="30"/>
      <c r="C24" s="28"/>
      <c r="D24" s="7">
        <v>0.64583333333333304</v>
      </c>
      <c r="I24" s="8"/>
      <c r="J24" s="2"/>
      <c r="K24" s="30"/>
      <c r="L24" s="25"/>
      <c r="M24" s="7">
        <v>0.64583333333333304</v>
      </c>
      <c r="R24" s="8"/>
      <c r="S24" s="2"/>
      <c r="T24" s="30"/>
      <c r="U24" s="25"/>
      <c r="V24" s="7">
        <v>0.64583333333333304</v>
      </c>
      <c r="AA24" s="8"/>
      <c r="AB24" s="2"/>
      <c r="AC24" s="30"/>
      <c r="AD24" s="25"/>
      <c r="AE24" s="7">
        <v>0.64583333333333304</v>
      </c>
      <c r="AJ24" s="8"/>
      <c r="AK24" s="2"/>
      <c r="AL24" s="30"/>
      <c r="AM24" s="25"/>
      <c r="AN24" s="7">
        <v>0.64583333333333304</v>
      </c>
      <c r="AS24" s="8"/>
      <c r="AT24" s="2"/>
    </row>
    <row r="25" spans="1:46">
      <c r="A25" s="2"/>
      <c r="B25" s="30"/>
      <c r="C25" s="28"/>
      <c r="D25" s="7">
        <v>0.6875</v>
      </c>
      <c r="I25" s="8"/>
      <c r="J25" s="2"/>
      <c r="K25" s="30"/>
      <c r="L25" s="25"/>
      <c r="M25" s="7">
        <v>0.6875</v>
      </c>
      <c r="R25" s="8"/>
      <c r="S25" s="2"/>
      <c r="T25" s="30"/>
      <c r="U25" s="25"/>
      <c r="V25" s="7">
        <v>0.6875</v>
      </c>
      <c r="AA25" s="8"/>
      <c r="AB25" s="2"/>
      <c r="AC25" s="30"/>
      <c r="AD25" s="25"/>
      <c r="AE25" s="7">
        <v>0.6875</v>
      </c>
      <c r="AJ25" s="8"/>
      <c r="AK25" s="2"/>
      <c r="AL25" s="30"/>
      <c r="AM25" s="25"/>
      <c r="AN25" s="7">
        <v>0.6875</v>
      </c>
      <c r="AS25" s="8"/>
      <c r="AT25" s="2"/>
    </row>
    <row r="26" spans="1:46">
      <c r="A26" s="2"/>
      <c r="B26" s="30"/>
      <c r="C26" s="28"/>
      <c r="D26" s="7">
        <v>0.72916666666666696</v>
      </c>
      <c r="I26" s="8"/>
      <c r="J26" s="2"/>
      <c r="K26" s="30"/>
      <c r="L26" s="25"/>
      <c r="M26" s="7">
        <v>0.72916666666666696</v>
      </c>
      <c r="R26" s="8"/>
      <c r="S26" s="2"/>
      <c r="T26" s="30"/>
      <c r="U26" s="25"/>
      <c r="V26" s="7">
        <v>0.72916666666666696</v>
      </c>
      <c r="AA26" s="8"/>
      <c r="AB26" s="2"/>
      <c r="AC26" s="30"/>
      <c r="AD26" s="25"/>
      <c r="AE26" s="7">
        <v>0.72916666666666696</v>
      </c>
      <c r="AJ26" s="8"/>
      <c r="AK26" s="2"/>
      <c r="AL26" s="30"/>
      <c r="AM26" s="25"/>
      <c r="AN26" s="7">
        <v>0.72916666666666696</v>
      </c>
      <c r="AS26" s="8"/>
      <c r="AT26" s="2"/>
    </row>
    <row r="27" spans="1:46">
      <c r="A27" s="2"/>
      <c r="B27" s="30"/>
      <c r="C27" s="28"/>
      <c r="D27" s="7">
        <v>0.77083333333333304</v>
      </c>
      <c r="I27" s="8"/>
      <c r="J27" s="2"/>
      <c r="K27" s="30"/>
      <c r="L27" s="25"/>
      <c r="M27" s="7">
        <v>0.77083333333333304</v>
      </c>
      <c r="R27" s="8"/>
      <c r="S27" s="2"/>
      <c r="T27" s="30"/>
      <c r="U27" s="25"/>
      <c r="V27" s="7">
        <v>0.77083333333333304</v>
      </c>
      <c r="AA27" s="8"/>
      <c r="AB27" s="2"/>
      <c r="AC27" s="30"/>
      <c r="AD27" s="25"/>
      <c r="AE27" s="7">
        <v>0.77083333333333304</v>
      </c>
      <c r="AJ27" s="8"/>
      <c r="AK27" s="2"/>
      <c r="AL27" s="30"/>
      <c r="AM27" s="25"/>
      <c r="AN27" s="7">
        <v>0.77083333333333304</v>
      </c>
      <c r="AS27" s="8"/>
      <c r="AT27" s="2"/>
    </row>
    <row r="28" spans="1:46">
      <c r="A28" s="2"/>
      <c r="B28" s="30"/>
      <c r="C28" s="28"/>
      <c r="D28" s="7">
        <v>0.8125</v>
      </c>
      <c r="I28" s="8"/>
      <c r="J28" s="2"/>
      <c r="K28" s="30"/>
      <c r="L28" s="25"/>
      <c r="M28" s="7">
        <v>0.8125</v>
      </c>
      <c r="R28" s="8"/>
      <c r="S28" s="2"/>
      <c r="T28" s="30"/>
      <c r="U28" s="25"/>
      <c r="V28" s="7">
        <v>0.8125</v>
      </c>
      <c r="AA28" s="8"/>
      <c r="AB28" s="2"/>
      <c r="AC28" s="30"/>
      <c r="AD28" s="25"/>
      <c r="AE28" s="7">
        <v>0.8125</v>
      </c>
      <c r="AJ28" s="8"/>
      <c r="AK28" s="2"/>
      <c r="AL28" s="30"/>
      <c r="AM28" s="25"/>
      <c r="AN28" s="7">
        <v>0.812499999999996</v>
      </c>
      <c r="AS28" s="8"/>
      <c r="AT28" s="2"/>
    </row>
    <row r="29" spans="1:46">
      <c r="A29" s="2"/>
      <c r="B29" s="30"/>
      <c r="C29" s="29"/>
      <c r="D29" s="7">
        <v>0.85416666666666696</v>
      </c>
      <c r="I29" s="8"/>
      <c r="J29" s="2"/>
      <c r="K29" s="30"/>
      <c r="L29" s="26"/>
      <c r="M29" s="7">
        <v>0.85416666666666696</v>
      </c>
      <c r="R29" s="8"/>
      <c r="S29" s="2"/>
      <c r="T29" s="30"/>
      <c r="U29" s="26"/>
      <c r="V29" s="7">
        <v>0.85416666666666696</v>
      </c>
      <c r="AA29" s="8"/>
      <c r="AB29" s="2"/>
      <c r="AC29" s="30"/>
      <c r="AD29" s="26"/>
      <c r="AE29" s="7">
        <v>0.85416666666666696</v>
      </c>
      <c r="AJ29" s="8"/>
      <c r="AK29" s="2"/>
      <c r="AL29" s="30"/>
      <c r="AM29" s="26"/>
      <c r="AN29" s="7">
        <v>0.85416666666666297</v>
      </c>
      <c r="AS29" s="8"/>
      <c r="AT29" s="2"/>
    </row>
    <row r="30" spans="1:46">
      <c r="A30" s="2"/>
      <c r="B30" s="2"/>
      <c r="C30" s="12"/>
      <c r="D30" s="2"/>
      <c r="E30" s="2"/>
      <c r="F30" s="2"/>
      <c r="G30" s="2"/>
      <c r="H30" s="2"/>
      <c r="I30" s="13"/>
      <c r="J30" s="2"/>
      <c r="K30" s="2"/>
      <c r="L30" s="2"/>
      <c r="M30" s="2"/>
      <c r="N30" s="2"/>
      <c r="O30" s="2"/>
      <c r="P30" s="2"/>
      <c r="Q30" s="2"/>
      <c r="R30" s="13"/>
      <c r="S30" s="2"/>
      <c r="T30" s="2" t="str">
        <f t="shared" ref="T19:T76" si="0">TEXT(U30, "dddd")</f>
        <v>sábado</v>
      </c>
      <c r="U30" s="12">
        <f t="shared" ref="U19:U30" si="1">IF(MOD(ROW()-1,14)=0, "", U29)</f>
        <v>0</v>
      </c>
      <c r="V30" s="2"/>
      <c r="W30" s="2"/>
      <c r="X30" s="2"/>
      <c r="Y30" s="2"/>
      <c r="Z30" s="2"/>
      <c r="AA30" s="13"/>
      <c r="AB30" s="2"/>
      <c r="AC30" s="2"/>
      <c r="AD30" s="2"/>
      <c r="AE30" s="2"/>
      <c r="AF30" s="2"/>
      <c r="AG30" s="2"/>
      <c r="AH30" s="2"/>
      <c r="AI30" s="2"/>
      <c r="AJ30" s="13"/>
      <c r="AK30" s="2"/>
      <c r="AL30" s="2"/>
      <c r="AM30" s="2"/>
      <c r="AN30" s="2"/>
      <c r="AO30" s="2"/>
      <c r="AP30" s="2"/>
      <c r="AQ30" s="2"/>
      <c r="AR30" s="2"/>
      <c r="AS30" s="13"/>
      <c r="AT30" s="2"/>
    </row>
    <row r="31" spans="1:46">
      <c r="A31" s="2"/>
      <c r="B31" s="30" t="str">
        <f>TEXT(C31, "dddd")</f>
        <v>quarta-feira</v>
      </c>
      <c r="C31" s="27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ROW()-3)/14)+INT((COLUMN()-3)/9)*6</f>
        <v>46176</v>
      </c>
      <c r="D31" s="7">
        <v>0.35416666666666669</v>
      </c>
      <c r="H31" s="5" t="s">
        <v>6</v>
      </c>
      <c r="I31" s="8"/>
      <c r="J31" s="2"/>
      <c r="K31" s="30" t="str">
        <f>TEXT(L31, "dddd")</f>
        <v>quarta-feira</v>
      </c>
      <c r="L31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46183</v>
      </c>
      <c r="M31" s="7">
        <v>0.35416666666666669</v>
      </c>
      <c r="R31" s="8"/>
      <c r="S31" s="2"/>
      <c r="T31" s="30" t="str">
        <f>TEXT(U31, "dddd")</f>
        <v>quarta-feira</v>
      </c>
      <c r="U31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46190</v>
      </c>
      <c r="V31" s="7">
        <v>0.35416666666666669</v>
      </c>
      <c r="AA31" s="8"/>
      <c r="AB31" s="2"/>
      <c r="AC31" s="30" t="str">
        <f>TEXT(AD31, "dddd")</f>
        <v>quarta-feira</v>
      </c>
      <c r="AD31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46197</v>
      </c>
      <c r="AE31" s="7">
        <v>0.35416666666666669</v>
      </c>
      <c r="AF31" s="5" t="s">
        <v>13</v>
      </c>
      <c r="AJ31" s="8"/>
      <c r="AK31" s="2"/>
      <c r="AM31" s="6"/>
      <c r="AN31" s="7"/>
      <c r="AT31" s="2"/>
    </row>
    <row r="32" spans="1:46">
      <c r="A32" s="2"/>
      <c r="B32" s="30"/>
      <c r="C32" s="28"/>
      <c r="D32" s="7">
        <v>0.39583333333333298</v>
      </c>
      <c r="I32" s="8"/>
      <c r="J32" s="2"/>
      <c r="K32" s="30"/>
      <c r="L32" s="25"/>
      <c r="M32" s="7">
        <v>0.39583333333333298</v>
      </c>
      <c r="R32" s="8"/>
      <c r="S32" s="2"/>
      <c r="T32" s="30"/>
      <c r="U32" s="25"/>
      <c r="V32" s="7">
        <v>0.39583333333333298</v>
      </c>
      <c r="AA32" s="8"/>
      <c r="AB32" s="2"/>
      <c r="AC32" s="30"/>
      <c r="AD32" s="25"/>
      <c r="AE32" s="7">
        <v>0.39583333333333298</v>
      </c>
      <c r="AJ32" s="8"/>
      <c r="AK32" s="2"/>
      <c r="AM32" s="6"/>
      <c r="AN32" s="7"/>
      <c r="AT32" s="2"/>
    </row>
    <row r="33" spans="1:46">
      <c r="A33" s="2"/>
      <c r="B33" s="30"/>
      <c r="C33" s="28"/>
      <c r="D33" s="7">
        <v>0.4375</v>
      </c>
      <c r="I33" s="8"/>
      <c r="J33" s="2"/>
      <c r="K33" s="30"/>
      <c r="L33" s="25"/>
      <c r="M33" s="7">
        <v>0.4375</v>
      </c>
      <c r="R33" s="8"/>
      <c r="S33" s="2"/>
      <c r="T33" s="30"/>
      <c r="U33" s="25"/>
      <c r="V33" s="7">
        <v>0.4375</v>
      </c>
      <c r="AA33" s="8"/>
      <c r="AB33" s="2"/>
      <c r="AC33" s="30"/>
      <c r="AD33" s="25"/>
      <c r="AE33" s="7">
        <v>0.4375</v>
      </c>
      <c r="AJ33" s="8"/>
      <c r="AK33" s="2"/>
      <c r="AM33" s="6"/>
      <c r="AN33" s="7"/>
      <c r="AT33" s="2"/>
    </row>
    <row r="34" spans="1:46">
      <c r="A34" s="2"/>
      <c r="B34" s="30"/>
      <c r="C34" s="28"/>
      <c r="D34" s="7">
        <v>0.47916666666666702</v>
      </c>
      <c r="I34" s="8"/>
      <c r="J34" s="2"/>
      <c r="K34" s="30"/>
      <c r="L34" s="25"/>
      <c r="M34" s="7">
        <v>0.47916666666666702</v>
      </c>
      <c r="R34" s="8"/>
      <c r="S34" s="2"/>
      <c r="T34" s="30"/>
      <c r="U34" s="25"/>
      <c r="V34" s="7">
        <v>0.47916666666666702</v>
      </c>
      <c r="AA34" s="8"/>
      <c r="AB34" s="2"/>
      <c r="AC34" s="30"/>
      <c r="AD34" s="25"/>
      <c r="AE34" s="7">
        <v>0.47916666666666702</v>
      </c>
      <c r="AJ34" s="8"/>
      <c r="AK34" s="2"/>
      <c r="AM34" s="6"/>
      <c r="AN34" s="7"/>
      <c r="AT34" s="2"/>
    </row>
    <row r="35" spans="1:46">
      <c r="A35" s="2"/>
      <c r="B35" s="30"/>
      <c r="C35" s="28"/>
      <c r="D35" s="7">
        <v>0.52083333333333304</v>
      </c>
      <c r="I35" s="8"/>
      <c r="J35" s="2"/>
      <c r="K35" s="30"/>
      <c r="L35" s="25"/>
      <c r="M35" s="7">
        <v>0.52083333333333304</v>
      </c>
      <c r="R35" s="8"/>
      <c r="S35" s="2"/>
      <c r="T35" s="30"/>
      <c r="U35" s="25"/>
      <c r="V35" s="7">
        <v>0.52083333333333304</v>
      </c>
      <c r="AA35" s="8"/>
      <c r="AB35" s="2"/>
      <c r="AC35" s="30"/>
      <c r="AD35" s="25"/>
      <c r="AE35" s="7">
        <v>0.52083333333333304</v>
      </c>
      <c r="AJ35" s="8"/>
      <c r="AK35" s="2"/>
      <c r="AM35" s="6"/>
      <c r="AN35" s="7"/>
      <c r="AT35" s="2"/>
    </row>
    <row r="36" spans="1:46">
      <c r="A36" s="2"/>
      <c r="B36" s="30"/>
      <c r="C36" s="28"/>
      <c r="D36" s="7">
        <v>0.5625</v>
      </c>
      <c r="I36" s="8"/>
      <c r="J36" s="2"/>
      <c r="K36" s="30"/>
      <c r="L36" s="25"/>
      <c r="M36" s="7">
        <v>0.5625</v>
      </c>
      <c r="R36" s="8"/>
      <c r="S36" s="2"/>
      <c r="T36" s="30"/>
      <c r="U36" s="25"/>
      <c r="V36" s="7">
        <v>0.5625</v>
      </c>
      <c r="AA36" s="8"/>
      <c r="AB36" s="2"/>
      <c r="AC36" s="30"/>
      <c r="AD36" s="25"/>
      <c r="AE36" s="7">
        <v>0.5625</v>
      </c>
      <c r="AJ36" s="8"/>
      <c r="AK36" s="2"/>
      <c r="AM36" s="6"/>
      <c r="AN36" s="7"/>
      <c r="AT36" s="2"/>
    </row>
    <row r="37" spans="1:46">
      <c r="A37" s="2"/>
      <c r="B37" s="30"/>
      <c r="C37" s="28"/>
      <c r="D37" s="7">
        <v>0.60416666666666696</v>
      </c>
      <c r="I37" s="8"/>
      <c r="J37" s="2"/>
      <c r="K37" s="30"/>
      <c r="L37" s="25"/>
      <c r="M37" s="7">
        <v>0.60416666666666696</v>
      </c>
      <c r="R37" s="8"/>
      <c r="S37" s="2"/>
      <c r="T37" s="30"/>
      <c r="U37" s="25"/>
      <c r="V37" s="7">
        <v>0.60416666666666696</v>
      </c>
      <c r="AA37" s="8"/>
      <c r="AB37" s="2"/>
      <c r="AC37" s="30"/>
      <c r="AD37" s="25"/>
      <c r="AE37" s="7">
        <v>0.60416666666666696</v>
      </c>
      <c r="AJ37" s="8"/>
      <c r="AK37" s="2"/>
      <c r="AM37" s="6"/>
      <c r="AN37" s="7"/>
      <c r="AT37" s="2"/>
    </row>
    <row r="38" spans="1:46">
      <c r="A38" s="2"/>
      <c r="B38" s="30"/>
      <c r="C38" s="28"/>
      <c r="D38" s="7">
        <v>0.64583333333333304</v>
      </c>
      <c r="I38" s="8"/>
      <c r="J38" s="2"/>
      <c r="K38" s="30"/>
      <c r="L38" s="25"/>
      <c r="M38" s="7">
        <v>0.64583333333333304</v>
      </c>
      <c r="R38" s="8"/>
      <c r="S38" s="2"/>
      <c r="T38" s="30"/>
      <c r="U38" s="25"/>
      <c r="V38" s="7">
        <v>0.64583333333333304</v>
      </c>
      <c r="AA38" s="8"/>
      <c r="AB38" s="2"/>
      <c r="AC38" s="30"/>
      <c r="AD38" s="25"/>
      <c r="AE38" s="7">
        <v>0.64583333333333304</v>
      </c>
      <c r="AJ38" s="8"/>
      <c r="AK38" s="2"/>
      <c r="AM38" s="6"/>
      <c r="AN38" s="7"/>
      <c r="AT38" s="2"/>
    </row>
    <row r="39" spans="1:46">
      <c r="A39" s="2"/>
      <c r="B39" s="30"/>
      <c r="C39" s="28"/>
      <c r="D39" s="7">
        <v>0.6875</v>
      </c>
      <c r="I39" s="8"/>
      <c r="J39" s="2"/>
      <c r="K39" s="30"/>
      <c r="L39" s="25"/>
      <c r="M39" s="7">
        <v>0.6875</v>
      </c>
      <c r="R39" s="8"/>
      <c r="S39" s="2"/>
      <c r="T39" s="30"/>
      <c r="U39" s="25"/>
      <c r="V39" s="7">
        <v>0.6875</v>
      </c>
      <c r="AA39" s="8"/>
      <c r="AB39" s="2"/>
      <c r="AC39" s="30"/>
      <c r="AD39" s="25"/>
      <c r="AE39" s="7">
        <v>0.6875</v>
      </c>
      <c r="AJ39" s="8"/>
      <c r="AK39" s="2"/>
      <c r="AM39" s="6"/>
      <c r="AN39" s="7"/>
      <c r="AT39" s="2"/>
    </row>
    <row r="40" spans="1:46">
      <c r="A40" s="2"/>
      <c r="B40" s="30"/>
      <c r="C40" s="28"/>
      <c r="D40" s="7">
        <v>0.72916666666666696</v>
      </c>
      <c r="I40" s="8"/>
      <c r="J40" s="2"/>
      <c r="K40" s="30"/>
      <c r="L40" s="25"/>
      <c r="M40" s="7">
        <v>0.72916666666666696</v>
      </c>
      <c r="R40" s="8"/>
      <c r="S40" s="2"/>
      <c r="T40" s="30"/>
      <c r="U40" s="25"/>
      <c r="V40" s="7">
        <v>0.72916666666666696</v>
      </c>
      <c r="AA40" s="8"/>
      <c r="AB40" s="2"/>
      <c r="AC40" s="30"/>
      <c r="AD40" s="25"/>
      <c r="AE40" s="7">
        <v>0.72916666666666696</v>
      </c>
      <c r="AJ40" s="8"/>
      <c r="AK40" s="2"/>
      <c r="AM40" s="6"/>
      <c r="AN40" s="7"/>
      <c r="AT40" s="2"/>
    </row>
    <row r="41" spans="1:46">
      <c r="A41" s="2"/>
      <c r="B41" s="30"/>
      <c r="C41" s="28"/>
      <c r="D41" s="7">
        <v>0.77083333333333304</v>
      </c>
      <c r="I41" s="8"/>
      <c r="J41" s="2"/>
      <c r="K41" s="30"/>
      <c r="L41" s="25"/>
      <c r="M41" s="7">
        <v>0.77083333333333304</v>
      </c>
      <c r="R41" s="8"/>
      <c r="S41" s="2"/>
      <c r="T41" s="30"/>
      <c r="U41" s="25"/>
      <c r="V41" s="7">
        <v>0.77083333333333304</v>
      </c>
      <c r="AA41" s="8"/>
      <c r="AB41" s="2"/>
      <c r="AC41" s="30"/>
      <c r="AD41" s="25"/>
      <c r="AE41" s="7">
        <v>0.77083333333333304</v>
      </c>
      <c r="AJ41" s="8"/>
      <c r="AK41" s="2"/>
      <c r="AM41" s="6"/>
      <c r="AN41" s="7"/>
      <c r="AT41" s="2"/>
    </row>
    <row r="42" spans="1:46">
      <c r="A42" s="2"/>
      <c r="B42" s="30"/>
      <c r="C42" s="28"/>
      <c r="D42" s="7">
        <v>0.8125</v>
      </c>
      <c r="I42" s="8"/>
      <c r="J42" s="2"/>
      <c r="K42" s="30"/>
      <c r="L42" s="25"/>
      <c r="M42" s="7">
        <v>0.8125</v>
      </c>
      <c r="R42" s="8"/>
      <c r="S42" s="2"/>
      <c r="T42" s="30"/>
      <c r="U42" s="25"/>
      <c r="V42" s="7">
        <v>0.8125</v>
      </c>
      <c r="AA42" s="8"/>
      <c r="AB42" s="2"/>
      <c r="AC42" s="30"/>
      <c r="AD42" s="25"/>
      <c r="AE42" s="7">
        <v>0.8125</v>
      </c>
      <c r="AJ42" s="8"/>
      <c r="AK42" s="2"/>
      <c r="AM42" s="6"/>
      <c r="AN42" s="7"/>
      <c r="AT42" s="2"/>
    </row>
    <row r="43" spans="1:46">
      <c r="A43" s="2"/>
      <c r="B43" s="30"/>
      <c r="C43" s="29"/>
      <c r="D43" s="7">
        <v>0.85416666666666696</v>
      </c>
      <c r="I43" s="8"/>
      <c r="J43" s="2"/>
      <c r="K43" s="30"/>
      <c r="L43" s="26"/>
      <c r="M43" s="7">
        <v>0.85416666666666696</v>
      </c>
      <c r="R43" s="8"/>
      <c r="S43" s="2"/>
      <c r="T43" s="30"/>
      <c r="U43" s="26"/>
      <c r="V43" s="7">
        <v>0.85416666666666696</v>
      </c>
      <c r="AA43" s="8"/>
      <c r="AB43" s="2"/>
      <c r="AC43" s="30"/>
      <c r="AD43" s="26"/>
      <c r="AE43" s="7">
        <v>0.85416666666666696</v>
      </c>
      <c r="AJ43" s="8"/>
      <c r="AK43" s="2"/>
      <c r="AM43" s="6"/>
      <c r="AN43" s="7"/>
      <c r="AT43" s="2"/>
    </row>
    <row r="44" spans="1:46">
      <c r="A44" s="2"/>
      <c r="B44" s="2"/>
      <c r="C44" s="12"/>
      <c r="D44" s="2"/>
      <c r="E44" s="2"/>
      <c r="F44" s="2"/>
      <c r="G44" s="2"/>
      <c r="H44" s="2"/>
      <c r="I44" s="13"/>
      <c r="J44" s="2"/>
      <c r="K44" s="2"/>
      <c r="L44" s="2"/>
      <c r="M44" s="2"/>
      <c r="N44" s="2"/>
      <c r="O44" s="2"/>
      <c r="P44" s="2"/>
      <c r="Q44" s="2"/>
      <c r="R44" s="13"/>
      <c r="S44" s="2"/>
      <c r="T44" s="2"/>
      <c r="U44" s="12"/>
      <c r="V44" s="2"/>
      <c r="W44" s="2"/>
      <c r="X44" s="2"/>
      <c r="Y44" s="2"/>
      <c r="Z44" s="2"/>
      <c r="AA44" s="13"/>
      <c r="AB44" s="2"/>
      <c r="AC44" s="2"/>
      <c r="AD44" s="2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46197</v>
      </c>
      <c r="AE44" s="2"/>
      <c r="AF44" s="2"/>
      <c r="AG44" s="2"/>
      <c r="AH44" s="2"/>
      <c r="AI44" s="2"/>
      <c r="AJ44" s="13"/>
      <c r="AK44" s="2"/>
      <c r="AL44" s="2"/>
      <c r="AM44" s="2"/>
      <c r="AN44" s="2"/>
      <c r="AO44" s="2"/>
      <c r="AP44" s="2"/>
      <c r="AQ44" s="2"/>
      <c r="AR44" s="2"/>
      <c r="AS44" s="13"/>
      <c r="AT44" s="2"/>
    </row>
    <row r="45" spans="1:46">
      <c r="A45" s="2"/>
      <c r="B45" s="30" t="str">
        <f>TEXT(C45, "dddd")</f>
        <v>quinta-feira</v>
      </c>
      <c r="C45" s="27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ROW()-3)/14)+INT((COLUMN()-3)/9)*6</f>
        <v>46177</v>
      </c>
      <c r="D45" s="7">
        <v>0.35416666666666669</v>
      </c>
      <c r="H45" s="5" t="s">
        <v>6</v>
      </c>
      <c r="I45" s="8"/>
      <c r="J45" s="2"/>
      <c r="K45" s="30" t="str">
        <f>TEXT(L45, "dddd")</f>
        <v>quinta-feira</v>
      </c>
      <c r="L45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46184</v>
      </c>
      <c r="M45" s="7">
        <v>0.35416666666666669</v>
      </c>
      <c r="R45" s="8"/>
      <c r="S45" s="2"/>
      <c r="T45" s="30" t="str">
        <f>TEXT(U45, "dddd")</f>
        <v>quinta-feira</v>
      </c>
      <c r="U45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46191</v>
      </c>
      <c r="V45" s="7">
        <v>0.35416666666666669</v>
      </c>
      <c r="AA45" s="8"/>
      <c r="AB45" s="2"/>
      <c r="AC45" s="30" t="str">
        <f>TEXT(AD45, "dddd")</f>
        <v>quinta-feira</v>
      </c>
      <c r="AD45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46198</v>
      </c>
      <c r="AE45" s="7">
        <v>0.35416666666666669</v>
      </c>
      <c r="AF45" s="5" t="s">
        <v>13</v>
      </c>
      <c r="AJ45" s="8"/>
      <c r="AK45" s="2"/>
      <c r="AM45" s="6"/>
      <c r="AN45" s="7"/>
      <c r="AT45" s="2"/>
    </row>
    <row r="46" spans="1:46">
      <c r="A46" s="2"/>
      <c r="B46" s="30"/>
      <c r="C46" s="28"/>
      <c r="D46" s="7">
        <v>0.39583333333333298</v>
      </c>
      <c r="I46" s="8"/>
      <c r="J46" s="2"/>
      <c r="K46" s="30"/>
      <c r="L46" s="25"/>
      <c r="M46" s="7">
        <v>0.39583333333333298</v>
      </c>
      <c r="R46" s="8"/>
      <c r="S46" s="2"/>
      <c r="T46" s="30"/>
      <c r="U46" s="25"/>
      <c r="V46" s="7">
        <v>0.39583333333333298</v>
      </c>
      <c r="AA46" s="8"/>
      <c r="AB46" s="2"/>
      <c r="AC46" s="30"/>
      <c r="AD46" s="25"/>
      <c r="AE46" s="7">
        <v>0.39583333333333298</v>
      </c>
      <c r="AJ46" s="8"/>
      <c r="AK46" s="2"/>
      <c r="AM46" s="6"/>
      <c r="AN46" s="7"/>
      <c r="AT46" s="2"/>
    </row>
    <row r="47" spans="1:46">
      <c r="A47" s="2"/>
      <c r="B47" s="30"/>
      <c r="C47" s="28"/>
      <c r="D47" s="7">
        <v>0.4375</v>
      </c>
      <c r="I47" s="8"/>
      <c r="J47" s="2"/>
      <c r="K47" s="30"/>
      <c r="L47" s="25"/>
      <c r="M47" s="7">
        <v>0.4375</v>
      </c>
      <c r="R47" s="8"/>
      <c r="S47" s="2"/>
      <c r="T47" s="30"/>
      <c r="U47" s="25"/>
      <c r="V47" s="7">
        <v>0.4375</v>
      </c>
      <c r="AA47" s="8"/>
      <c r="AB47" s="2"/>
      <c r="AC47" s="30"/>
      <c r="AD47" s="25"/>
      <c r="AE47" s="7">
        <v>0.4375</v>
      </c>
      <c r="AJ47" s="8"/>
      <c r="AK47" s="2"/>
      <c r="AM47" s="6"/>
      <c r="AN47" s="7"/>
      <c r="AT47" s="2"/>
    </row>
    <row r="48" spans="1:46">
      <c r="A48" s="2"/>
      <c r="B48" s="30"/>
      <c r="C48" s="28"/>
      <c r="D48" s="7">
        <v>0.47916666666666702</v>
      </c>
      <c r="I48" s="8"/>
      <c r="J48" s="2"/>
      <c r="K48" s="30"/>
      <c r="L48" s="25"/>
      <c r="M48" s="7">
        <v>0.47916666666666702</v>
      </c>
      <c r="R48" s="8"/>
      <c r="S48" s="2"/>
      <c r="T48" s="30"/>
      <c r="U48" s="25"/>
      <c r="V48" s="7">
        <v>0.47916666666666702</v>
      </c>
      <c r="AA48" s="8"/>
      <c r="AB48" s="2"/>
      <c r="AC48" s="30"/>
      <c r="AD48" s="25"/>
      <c r="AE48" s="7">
        <v>0.47916666666666702</v>
      </c>
      <c r="AJ48" s="8"/>
      <c r="AK48" s="2"/>
      <c r="AM48" s="6"/>
      <c r="AN48" s="7"/>
      <c r="AT48" s="2"/>
    </row>
    <row r="49" spans="1:46">
      <c r="A49" s="2"/>
      <c r="B49" s="30"/>
      <c r="C49" s="28"/>
      <c r="D49" s="7">
        <v>0.52083333333333304</v>
      </c>
      <c r="I49" s="8"/>
      <c r="J49" s="2"/>
      <c r="K49" s="30"/>
      <c r="L49" s="25"/>
      <c r="M49" s="7">
        <v>0.52083333333333304</v>
      </c>
      <c r="R49" s="8"/>
      <c r="S49" s="2"/>
      <c r="T49" s="30"/>
      <c r="U49" s="25"/>
      <c r="V49" s="7">
        <v>0.52083333333333304</v>
      </c>
      <c r="AA49" s="8"/>
      <c r="AB49" s="2"/>
      <c r="AC49" s="30"/>
      <c r="AD49" s="25"/>
      <c r="AE49" s="7">
        <v>0.52083333333333304</v>
      </c>
      <c r="AJ49" s="8"/>
      <c r="AK49" s="2"/>
      <c r="AM49" s="6"/>
      <c r="AN49" s="7"/>
      <c r="AT49" s="2"/>
    </row>
    <row r="50" spans="1:46">
      <c r="A50" s="2"/>
      <c r="B50" s="30"/>
      <c r="C50" s="28"/>
      <c r="D50" s="7">
        <v>0.5625</v>
      </c>
      <c r="I50" s="8"/>
      <c r="J50" s="2"/>
      <c r="K50" s="30"/>
      <c r="L50" s="25"/>
      <c r="M50" s="7">
        <v>0.5625</v>
      </c>
      <c r="R50" s="8"/>
      <c r="S50" s="2"/>
      <c r="T50" s="30"/>
      <c r="U50" s="25"/>
      <c r="V50" s="7">
        <v>0.5625</v>
      </c>
      <c r="AA50" s="8"/>
      <c r="AB50" s="2"/>
      <c r="AC50" s="30"/>
      <c r="AD50" s="25"/>
      <c r="AE50" s="7">
        <v>0.5625</v>
      </c>
      <c r="AJ50" s="8"/>
      <c r="AK50" s="2"/>
      <c r="AM50" s="6"/>
      <c r="AN50" s="7"/>
      <c r="AT50" s="2"/>
    </row>
    <row r="51" spans="1:46">
      <c r="A51" s="2"/>
      <c r="B51" s="30"/>
      <c r="C51" s="28"/>
      <c r="D51" s="7">
        <v>0.60416666666666696</v>
      </c>
      <c r="I51" s="8"/>
      <c r="J51" s="2"/>
      <c r="K51" s="30"/>
      <c r="L51" s="25"/>
      <c r="M51" s="7">
        <v>0.60416666666666696</v>
      </c>
      <c r="R51" s="8"/>
      <c r="S51" s="2"/>
      <c r="T51" s="30"/>
      <c r="U51" s="25"/>
      <c r="V51" s="7">
        <v>0.60416666666666696</v>
      </c>
      <c r="AA51" s="8"/>
      <c r="AB51" s="2"/>
      <c r="AC51" s="30"/>
      <c r="AD51" s="25"/>
      <c r="AE51" s="7">
        <v>0.60416666666666696</v>
      </c>
      <c r="AJ51" s="8"/>
      <c r="AK51" s="2"/>
      <c r="AM51" s="6"/>
      <c r="AN51" s="7"/>
      <c r="AT51" s="2"/>
    </row>
    <row r="52" spans="1:46">
      <c r="A52" s="2"/>
      <c r="B52" s="30"/>
      <c r="C52" s="28"/>
      <c r="D52" s="7">
        <v>0.64583333333333304</v>
      </c>
      <c r="I52" s="8"/>
      <c r="J52" s="2"/>
      <c r="K52" s="30"/>
      <c r="L52" s="25"/>
      <c r="M52" s="7">
        <v>0.64583333333333304</v>
      </c>
      <c r="R52" s="8"/>
      <c r="S52" s="2"/>
      <c r="T52" s="30"/>
      <c r="U52" s="25"/>
      <c r="V52" s="7">
        <v>0.64583333333333304</v>
      </c>
      <c r="AA52" s="8"/>
      <c r="AB52" s="2"/>
      <c r="AC52" s="30"/>
      <c r="AD52" s="25"/>
      <c r="AE52" s="7">
        <v>0.64583333333333304</v>
      </c>
      <c r="AJ52" s="8"/>
      <c r="AK52" s="2"/>
      <c r="AM52" s="6"/>
      <c r="AN52" s="7"/>
      <c r="AT52" s="2"/>
    </row>
    <row r="53" spans="1:46">
      <c r="A53" s="2"/>
      <c r="B53" s="30"/>
      <c r="C53" s="28"/>
      <c r="D53" s="7">
        <v>0.6875</v>
      </c>
      <c r="I53" s="8"/>
      <c r="J53" s="2"/>
      <c r="K53" s="30"/>
      <c r="L53" s="25"/>
      <c r="M53" s="7">
        <v>0.6875</v>
      </c>
      <c r="R53" s="8"/>
      <c r="S53" s="2"/>
      <c r="T53" s="30"/>
      <c r="U53" s="25"/>
      <c r="V53" s="7">
        <v>0.6875</v>
      </c>
      <c r="AA53" s="8"/>
      <c r="AB53" s="2"/>
      <c r="AC53" s="30"/>
      <c r="AD53" s="25"/>
      <c r="AE53" s="7">
        <v>0.6875</v>
      </c>
      <c r="AJ53" s="8"/>
      <c r="AK53" s="2"/>
      <c r="AM53" s="6"/>
      <c r="AN53" s="7"/>
      <c r="AT53" s="2"/>
    </row>
    <row r="54" spans="1:46">
      <c r="A54" s="2"/>
      <c r="B54" s="30"/>
      <c r="C54" s="28"/>
      <c r="D54" s="7">
        <v>0.72916666666666696</v>
      </c>
      <c r="I54" s="8"/>
      <c r="J54" s="2"/>
      <c r="K54" s="30"/>
      <c r="L54" s="25"/>
      <c r="M54" s="7">
        <v>0.72916666666666696</v>
      </c>
      <c r="R54" s="8"/>
      <c r="S54" s="2"/>
      <c r="T54" s="30"/>
      <c r="U54" s="25"/>
      <c r="V54" s="7">
        <v>0.72916666666666696</v>
      </c>
      <c r="AA54" s="8"/>
      <c r="AB54" s="2"/>
      <c r="AC54" s="30"/>
      <c r="AD54" s="25"/>
      <c r="AE54" s="7">
        <v>0.72916666666666696</v>
      </c>
      <c r="AJ54" s="8"/>
      <c r="AK54" s="2"/>
      <c r="AM54" s="6"/>
      <c r="AN54" s="7"/>
      <c r="AT54" s="2"/>
    </row>
    <row r="55" spans="1:46">
      <c r="A55" s="2"/>
      <c r="B55" s="30"/>
      <c r="C55" s="28"/>
      <c r="D55" s="7">
        <v>0.77083333333333304</v>
      </c>
      <c r="I55" s="8"/>
      <c r="J55" s="2"/>
      <c r="K55" s="30"/>
      <c r="L55" s="25"/>
      <c r="M55" s="7">
        <v>0.77083333333333304</v>
      </c>
      <c r="R55" s="8"/>
      <c r="S55" s="2"/>
      <c r="T55" s="30"/>
      <c r="U55" s="25"/>
      <c r="V55" s="7">
        <v>0.77083333333333304</v>
      </c>
      <c r="AA55" s="8"/>
      <c r="AB55" s="2"/>
      <c r="AC55" s="30"/>
      <c r="AD55" s="25"/>
      <c r="AE55" s="7">
        <v>0.77083333333333304</v>
      </c>
      <c r="AJ55" s="8"/>
      <c r="AK55" s="2"/>
      <c r="AM55" s="6"/>
      <c r="AN55" s="7"/>
      <c r="AT55" s="2"/>
    </row>
    <row r="56" spans="1:46">
      <c r="A56" s="2"/>
      <c r="B56" s="30"/>
      <c r="C56" s="28"/>
      <c r="D56" s="7">
        <v>0.8125</v>
      </c>
      <c r="I56" s="8"/>
      <c r="J56" s="2"/>
      <c r="K56" s="30"/>
      <c r="L56" s="25"/>
      <c r="M56" s="7">
        <v>0.8125</v>
      </c>
      <c r="R56" s="8"/>
      <c r="S56" s="2"/>
      <c r="T56" s="30"/>
      <c r="U56" s="25"/>
      <c r="V56" s="7">
        <v>0.8125</v>
      </c>
      <c r="AA56" s="8"/>
      <c r="AB56" s="2"/>
      <c r="AC56" s="30"/>
      <c r="AD56" s="25"/>
      <c r="AE56" s="7">
        <v>0.8125</v>
      </c>
      <c r="AJ56" s="8"/>
      <c r="AK56" s="2"/>
      <c r="AM56" s="6"/>
      <c r="AN56" s="7"/>
      <c r="AT56" s="2"/>
    </row>
    <row r="57" spans="1:46">
      <c r="A57" s="2"/>
      <c r="B57" s="30"/>
      <c r="C57" s="29"/>
      <c r="D57" s="7">
        <v>0.85416666666666696</v>
      </c>
      <c r="I57" s="8"/>
      <c r="J57" s="2"/>
      <c r="K57" s="30"/>
      <c r="L57" s="26"/>
      <c r="M57" s="7">
        <v>0.85416666666666696</v>
      </c>
      <c r="R57" s="8"/>
      <c r="S57" s="2"/>
      <c r="T57" s="30"/>
      <c r="U57" s="26"/>
      <c r="V57" s="7">
        <v>0.85416666666666696</v>
      </c>
      <c r="AA57" s="8"/>
      <c r="AB57" s="2"/>
      <c r="AC57" s="30"/>
      <c r="AD57" s="26"/>
      <c r="AE57" s="7">
        <v>0.85416666666666696</v>
      </c>
      <c r="AJ57" s="8"/>
      <c r="AK57" s="2"/>
      <c r="AM57" s="6"/>
      <c r="AN57" s="7"/>
      <c r="AT57" s="2"/>
    </row>
    <row r="58" spans="1:46">
      <c r="A58" s="2"/>
      <c r="B58" s="2"/>
      <c r="C58" s="12"/>
      <c r="D58" s="2"/>
      <c r="E58" s="2"/>
      <c r="F58" s="2"/>
      <c r="G58" s="2"/>
      <c r="H58" s="2"/>
      <c r="I58" s="13"/>
      <c r="J58" s="2"/>
      <c r="K58" s="2"/>
      <c r="L58" s="2"/>
      <c r="M58" s="2"/>
      <c r="N58" s="2"/>
      <c r="O58" s="2"/>
      <c r="P58" s="2"/>
      <c r="Q58" s="2"/>
      <c r="R58" s="13"/>
      <c r="S58" s="2"/>
      <c r="T58" s="2"/>
      <c r="U58" s="12"/>
      <c r="V58" s="2"/>
      <c r="W58" s="2"/>
      <c r="X58" s="2"/>
      <c r="Y58" s="2"/>
      <c r="Z58" s="2"/>
      <c r="AA58" s="13"/>
      <c r="AB58" s="2"/>
      <c r="AC58" s="2"/>
      <c r="AD58" s="2"/>
      <c r="AE58" s="2"/>
      <c r="AF58" s="2"/>
      <c r="AG58" s="2"/>
      <c r="AH58" s="2"/>
      <c r="AI58" s="2"/>
      <c r="AJ58" s="13"/>
      <c r="AK58" s="2"/>
      <c r="AL58" s="2"/>
      <c r="AM58" s="2"/>
      <c r="AN58" s="2"/>
      <c r="AO58" s="2"/>
      <c r="AP58" s="2"/>
      <c r="AQ58" s="2"/>
      <c r="AR58" s="2"/>
      <c r="AS58" s="13"/>
      <c r="AT58" s="2"/>
    </row>
    <row r="59" spans="1:46" ht="23.25" customHeight="1">
      <c r="A59" s="2"/>
      <c r="B59" s="30" t="str">
        <f>TEXT(C59, "dddd")</f>
        <v>sexta-feira</v>
      </c>
      <c r="C59" s="27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ROW()-3)/14)+INT((COLUMN()-3)/9)*6</f>
        <v>46178</v>
      </c>
      <c r="D59" s="7">
        <v>0.35416666666666669</v>
      </c>
      <c r="H59" s="5" t="s">
        <v>6</v>
      </c>
      <c r="I59" s="8"/>
      <c r="J59" s="2"/>
      <c r="K59" s="30" t="str">
        <f>TEXT(L59, "dddd")</f>
        <v>sexta-feira</v>
      </c>
      <c r="L59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46185</v>
      </c>
      <c r="M59" s="7">
        <v>0.35416666666666669</v>
      </c>
      <c r="Q59" s="5" t="s">
        <v>6</v>
      </c>
      <c r="R59" s="8"/>
      <c r="S59" s="2"/>
      <c r="T59" s="30" t="str">
        <f>TEXT(U59, "dddd")</f>
        <v>sexta-feira</v>
      </c>
      <c r="U59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46192</v>
      </c>
      <c r="V59" s="7">
        <v>0.35416666666666669</v>
      </c>
      <c r="AA59" s="8"/>
      <c r="AB59" s="2"/>
      <c r="AC59" s="30" t="str">
        <f>TEXT(AD59, "dddd")</f>
        <v>sexta-feira</v>
      </c>
      <c r="AD59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46199</v>
      </c>
      <c r="AE59" s="7">
        <v>0.35416666666666669</v>
      </c>
      <c r="AF59" s="5" t="s">
        <v>17</v>
      </c>
      <c r="AJ59" s="8"/>
      <c r="AK59" s="2"/>
      <c r="AM59" s="6"/>
      <c r="AN59" s="7"/>
      <c r="AT59" s="2"/>
    </row>
    <row r="60" spans="1:46" ht="23.25" customHeight="1">
      <c r="A60" s="2"/>
      <c r="B60" s="30"/>
      <c r="C60" s="28"/>
      <c r="D60" s="7">
        <v>0.39583333333333298</v>
      </c>
      <c r="I60" s="8"/>
      <c r="J60" s="2"/>
      <c r="K60" s="30"/>
      <c r="L60" s="25"/>
      <c r="M60" s="7">
        <v>0.39583333333333298</v>
      </c>
      <c r="R60" s="8"/>
      <c r="S60" s="2"/>
      <c r="T60" s="30"/>
      <c r="U60" s="25"/>
      <c r="V60" s="7">
        <v>0.39583333333333298</v>
      </c>
      <c r="AA60" s="8"/>
      <c r="AB60" s="2"/>
      <c r="AC60" s="30"/>
      <c r="AD60" s="25"/>
      <c r="AE60" s="7">
        <v>0.39583333333333298</v>
      </c>
      <c r="AJ60" s="8"/>
      <c r="AK60" s="2"/>
      <c r="AM60" s="6"/>
      <c r="AN60" s="7"/>
      <c r="AT60" s="2"/>
    </row>
    <row r="61" spans="1:46" ht="23.25" customHeight="1">
      <c r="A61" s="2"/>
      <c r="B61" s="30"/>
      <c r="C61" s="28"/>
      <c r="D61" s="7">
        <v>0.4375</v>
      </c>
      <c r="I61" s="8"/>
      <c r="J61" s="2"/>
      <c r="K61" s="30"/>
      <c r="L61" s="25"/>
      <c r="M61" s="7">
        <v>0.4375</v>
      </c>
      <c r="R61" s="8"/>
      <c r="S61" s="2"/>
      <c r="T61" s="30"/>
      <c r="U61" s="25"/>
      <c r="V61" s="7">
        <v>0.4375</v>
      </c>
      <c r="AA61" s="8"/>
      <c r="AB61" s="2"/>
      <c r="AC61" s="30"/>
      <c r="AD61" s="25"/>
      <c r="AE61" s="7">
        <v>0.4375</v>
      </c>
      <c r="AJ61" s="8"/>
      <c r="AK61" s="2"/>
      <c r="AM61" s="6"/>
      <c r="AN61" s="7"/>
      <c r="AT61" s="2"/>
    </row>
    <row r="62" spans="1:46" ht="23.25" customHeight="1">
      <c r="A62" s="2"/>
      <c r="B62" s="30"/>
      <c r="C62" s="28"/>
      <c r="D62" s="7">
        <v>0.47916666666666702</v>
      </c>
      <c r="I62" s="8"/>
      <c r="J62" s="2"/>
      <c r="K62" s="30"/>
      <c r="L62" s="25"/>
      <c r="M62" s="7">
        <v>0.47916666666666702</v>
      </c>
      <c r="R62" s="8"/>
      <c r="S62" s="2"/>
      <c r="T62" s="30"/>
      <c r="U62" s="25"/>
      <c r="V62" s="7">
        <v>0.47916666666666702</v>
      </c>
      <c r="AA62" s="8"/>
      <c r="AB62" s="2"/>
      <c r="AC62" s="30"/>
      <c r="AD62" s="25"/>
      <c r="AE62" s="7">
        <v>0.47916666666666702</v>
      </c>
      <c r="AJ62" s="8"/>
      <c r="AK62" s="2"/>
      <c r="AM62" s="6"/>
      <c r="AN62" s="7"/>
      <c r="AT62" s="2"/>
    </row>
    <row r="63" spans="1:46" ht="23.25" customHeight="1">
      <c r="A63" s="2"/>
      <c r="B63" s="30"/>
      <c r="C63" s="28"/>
      <c r="D63" s="7">
        <v>0.52083333333333304</v>
      </c>
      <c r="I63" s="8"/>
      <c r="J63" s="2"/>
      <c r="K63" s="30"/>
      <c r="L63" s="25"/>
      <c r="M63" s="7">
        <v>0.52083333333333304</v>
      </c>
      <c r="R63" s="8"/>
      <c r="S63" s="2"/>
      <c r="T63" s="30"/>
      <c r="U63" s="25"/>
      <c r="V63" s="7">
        <v>0.52083333333333304</v>
      </c>
      <c r="AA63" s="8"/>
      <c r="AB63" s="2"/>
      <c r="AC63" s="30"/>
      <c r="AD63" s="25"/>
      <c r="AE63" s="7">
        <v>0.52083333333333304</v>
      </c>
      <c r="AJ63" s="8"/>
      <c r="AK63" s="2"/>
      <c r="AM63" s="6"/>
      <c r="AN63" s="7"/>
      <c r="AT63" s="2"/>
    </row>
    <row r="64" spans="1:46" ht="23.25" customHeight="1">
      <c r="A64" s="2"/>
      <c r="B64" s="30"/>
      <c r="C64" s="28"/>
      <c r="D64" s="7">
        <v>0.5625</v>
      </c>
      <c r="I64" s="8"/>
      <c r="J64" s="2"/>
      <c r="K64" s="30"/>
      <c r="L64" s="25"/>
      <c r="M64" s="7">
        <v>0.5625</v>
      </c>
      <c r="R64" s="8"/>
      <c r="S64" s="2"/>
      <c r="T64" s="30"/>
      <c r="U64" s="25"/>
      <c r="V64" s="7">
        <v>0.5625</v>
      </c>
      <c r="AA64" s="8"/>
      <c r="AB64" s="2"/>
      <c r="AC64" s="30"/>
      <c r="AD64" s="25"/>
      <c r="AE64" s="7">
        <v>0.5625</v>
      </c>
      <c r="AJ64" s="8"/>
      <c r="AK64" s="2"/>
      <c r="AM64" s="6"/>
      <c r="AN64" s="7"/>
      <c r="AT64" s="2"/>
    </row>
    <row r="65" spans="1:46" ht="23.25" customHeight="1">
      <c r="A65" s="2"/>
      <c r="B65" s="30"/>
      <c r="C65" s="28"/>
      <c r="D65" s="7">
        <v>0.60416666666666696</v>
      </c>
      <c r="I65" s="8"/>
      <c r="J65" s="2"/>
      <c r="K65" s="30"/>
      <c r="L65" s="25"/>
      <c r="M65" s="7">
        <v>0.60416666666666696</v>
      </c>
      <c r="R65" s="8"/>
      <c r="S65" s="2"/>
      <c r="T65" s="30"/>
      <c r="U65" s="25"/>
      <c r="V65" s="7">
        <v>0.60416666666666696</v>
      </c>
      <c r="AA65" s="8"/>
      <c r="AB65" s="2"/>
      <c r="AC65" s="30"/>
      <c r="AD65" s="25"/>
      <c r="AE65" s="7">
        <v>0.60416666666666696</v>
      </c>
      <c r="AJ65" s="8"/>
      <c r="AK65" s="2"/>
      <c r="AM65" s="6"/>
      <c r="AN65" s="7"/>
      <c r="AT65" s="2"/>
    </row>
    <row r="66" spans="1:46" ht="23.25" customHeight="1">
      <c r="A66" s="2"/>
      <c r="B66" s="30"/>
      <c r="C66" s="28"/>
      <c r="D66" s="7">
        <v>0.64583333333333304</v>
      </c>
      <c r="I66" s="8"/>
      <c r="J66" s="2"/>
      <c r="K66" s="30"/>
      <c r="L66" s="25"/>
      <c r="M66" s="7">
        <v>0.64583333333333304</v>
      </c>
      <c r="R66" s="8"/>
      <c r="S66" s="2"/>
      <c r="T66" s="30"/>
      <c r="U66" s="25"/>
      <c r="V66" s="7">
        <v>0.64583333333333304</v>
      </c>
      <c r="AA66" s="8"/>
      <c r="AB66" s="2"/>
      <c r="AC66" s="30"/>
      <c r="AD66" s="25"/>
      <c r="AE66" s="7">
        <v>0.64583333333333304</v>
      </c>
      <c r="AJ66" s="8"/>
      <c r="AK66" s="2"/>
      <c r="AM66" s="6"/>
      <c r="AN66" s="7"/>
      <c r="AT66" s="2"/>
    </row>
    <row r="67" spans="1:46" ht="23.25" customHeight="1">
      <c r="A67" s="2"/>
      <c r="B67" s="30"/>
      <c r="C67" s="28"/>
      <c r="D67" s="7">
        <v>0.6875</v>
      </c>
      <c r="I67" s="8"/>
      <c r="J67" s="2"/>
      <c r="K67" s="30"/>
      <c r="L67" s="25"/>
      <c r="M67" s="7">
        <v>0.6875</v>
      </c>
      <c r="R67" s="8"/>
      <c r="S67" s="2"/>
      <c r="T67" s="30"/>
      <c r="U67" s="25"/>
      <c r="V67" s="7">
        <v>0.6875</v>
      </c>
      <c r="AA67" s="8"/>
      <c r="AB67" s="2"/>
      <c r="AC67" s="30"/>
      <c r="AD67" s="25"/>
      <c r="AE67" s="7">
        <v>0.6875</v>
      </c>
      <c r="AJ67" s="8"/>
      <c r="AK67" s="2"/>
      <c r="AM67" s="6"/>
      <c r="AN67" s="7"/>
      <c r="AT67" s="2"/>
    </row>
    <row r="68" spans="1:46" ht="23.25" customHeight="1">
      <c r="A68" s="2"/>
      <c r="B68" s="30"/>
      <c r="C68" s="28"/>
      <c r="D68" s="7">
        <v>0.72916666666666696</v>
      </c>
      <c r="I68" s="8"/>
      <c r="J68" s="2"/>
      <c r="K68" s="30"/>
      <c r="L68" s="25"/>
      <c r="M68" s="7">
        <v>0.72916666666666696</v>
      </c>
      <c r="R68" s="8"/>
      <c r="S68" s="2"/>
      <c r="T68" s="30"/>
      <c r="U68" s="25"/>
      <c r="V68" s="7">
        <v>0.72916666666666696</v>
      </c>
      <c r="AA68" s="8"/>
      <c r="AB68" s="2"/>
      <c r="AC68" s="30"/>
      <c r="AD68" s="25"/>
      <c r="AE68" s="7">
        <v>0.72916666666666696</v>
      </c>
      <c r="AJ68" s="8"/>
      <c r="AK68" s="2"/>
      <c r="AM68" s="6"/>
      <c r="AN68" s="7"/>
      <c r="AT68" s="2"/>
    </row>
    <row r="69" spans="1:46" ht="23.25" customHeight="1">
      <c r="A69" s="2"/>
      <c r="B69" s="30"/>
      <c r="C69" s="28"/>
      <c r="D69" s="7">
        <v>0.77083333333333304</v>
      </c>
      <c r="I69" s="8"/>
      <c r="J69" s="2"/>
      <c r="K69" s="30"/>
      <c r="L69" s="25"/>
      <c r="M69" s="7">
        <v>0.77083333333333304</v>
      </c>
      <c r="R69" s="8"/>
      <c r="S69" s="2"/>
      <c r="T69" s="30"/>
      <c r="U69" s="25"/>
      <c r="V69" s="7">
        <v>0.77083333333333304</v>
      </c>
      <c r="AA69" s="8"/>
      <c r="AB69" s="2"/>
      <c r="AC69" s="30"/>
      <c r="AD69" s="25"/>
      <c r="AE69" s="7">
        <v>0.77083333333333304</v>
      </c>
      <c r="AJ69" s="8"/>
      <c r="AK69" s="2"/>
      <c r="AM69" s="6"/>
      <c r="AN69" s="7"/>
      <c r="AT69" s="2"/>
    </row>
    <row r="70" spans="1:46" ht="23.25" customHeight="1">
      <c r="A70" s="2"/>
      <c r="B70" s="30"/>
      <c r="C70" s="28"/>
      <c r="D70" s="7">
        <v>0.8125</v>
      </c>
      <c r="I70" s="8"/>
      <c r="J70" s="2"/>
      <c r="K70" s="30"/>
      <c r="L70" s="25"/>
      <c r="M70" s="7">
        <v>0.8125</v>
      </c>
      <c r="R70" s="8"/>
      <c r="S70" s="2"/>
      <c r="T70" s="30"/>
      <c r="U70" s="25"/>
      <c r="V70" s="7">
        <v>0.8125</v>
      </c>
      <c r="AA70" s="8"/>
      <c r="AB70" s="2"/>
      <c r="AC70" s="30"/>
      <c r="AD70" s="25"/>
      <c r="AE70" s="7">
        <v>0.8125</v>
      </c>
      <c r="AJ70" s="8"/>
      <c r="AK70" s="2"/>
      <c r="AM70" s="6"/>
      <c r="AN70" s="7"/>
      <c r="AT70" s="2"/>
    </row>
    <row r="71" spans="1:46" ht="23.25" customHeight="1">
      <c r="A71" s="2"/>
      <c r="B71" s="30"/>
      <c r="C71" s="29"/>
      <c r="D71" s="7">
        <v>0.85416666666666696</v>
      </c>
      <c r="I71" s="8"/>
      <c r="J71" s="2"/>
      <c r="K71" s="30"/>
      <c r="L71" s="26"/>
      <c r="M71" s="7">
        <v>0.85416666666666696</v>
      </c>
      <c r="R71" s="8"/>
      <c r="S71" s="2"/>
      <c r="T71" s="30"/>
      <c r="U71" s="26"/>
      <c r="V71" s="7">
        <v>0.85416666666666696</v>
      </c>
      <c r="AA71" s="8"/>
      <c r="AB71" s="2"/>
      <c r="AC71" s="30"/>
      <c r="AD71" s="26"/>
      <c r="AE71" s="7">
        <v>0.85416666666666696</v>
      </c>
      <c r="AJ71" s="8"/>
      <c r="AK71" s="2"/>
      <c r="AM71" s="6"/>
      <c r="AN71" s="7"/>
      <c r="AT71" s="2"/>
    </row>
    <row r="72" spans="1:46">
      <c r="A72" s="2"/>
      <c r="B72" s="2"/>
      <c r="C72" s="12"/>
      <c r="D72" s="2"/>
      <c r="E72" s="2"/>
      <c r="F72" s="2"/>
      <c r="G72" s="2"/>
      <c r="H72" s="2"/>
      <c r="I72" s="13"/>
      <c r="J72" s="2"/>
      <c r="K72" s="2"/>
      <c r="L72" s="2"/>
      <c r="M72" s="2"/>
      <c r="N72" s="2"/>
      <c r="O72" s="2"/>
      <c r="P72" s="2"/>
      <c r="Q72" s="2"/>
      <c r="R72" s="13"/>
      <c r="S72" s="2"/>
      <c r="T72" s="2"/>
      <c r="U72" s="12"/>
      <c r="V72" s="2"/>
      <c r="W72" s="2"/>
      <c r="X72" s="2"/>
      <c r="Y72" s="2"/>
      <c r="Z72" s="2"/>
      <c r="AA72" s="13"/>
      <c r="AB72" s="2"/>
      <c r="AC72" s="2"/>
      <c r="AD72" s="2"/>
      <c r="AE72" s="2"/>
      <c r="AF72" s="2"/>
      <c r="AG72" s="2"/>
      <c r="AH72" s="2"/>
      <c r="AI72" s="2"/>
      <c r="AJ72" s="13"/>
      <c r="AK72" s="2"/>
      <c r="AL72" s="2"/>
      <c r="AM72" s="2"/>
      <c r="AN72" s="2"/>
      <c r="AO72" s="2"/>
      <c r="AP72" s="2"/>
      <c r="AQ72" s="2"/>
      <c r="AR72" s="2"/>
      <c r="AS72" s="13"/>
      <c r="AT72" s="2"/>
    </row>
    <row r="73" spans="1:46" ht="23.25" customHeight="1">
      <c r="A73" s="2"/>
      <c r="B73" s="32" t="str">
        <f>TEXT(C73, "dddd")</f>
        <v>sábado</v>
      </c>
      <c r="C73" s="24">
        <f>DATE($F$1,MATCH($E$1,{"Janeiro";"Fevereiro";"Março";"Abril";"Maio";"Junho";"Julho";"Agosto";"Setembro";"Outubro";"Novembro";"Dezembro"},0),1)+MOD(2-WEEKDAY(DATE($F$1,MATCH($E$1,{"Janeiro";"Fevereiro";"Março";"Abril";"Maio";"Junho";"Julho";"Agosto";"Setembro";"Outubro";"Novembro";"Dezembro"},0),1),17),7)+INT((ROW()-3)/14)</f>
        <v>46179</v>
      </c>
      <c r="D73" s="7">
        <v>0.35416666666666669</v>
      </c>
      <c r="H73" s="5" t="s">
        <v>6</v>
      </c>
      <c r="I73" s="8" t="s">
        <v>12</v>
      </c>
      <c r="J73" s="2"/>
      <c r="K73" s="32" t="str">
        <f>TEXT(L73, "dddd")</f>
        <v>sábado</v>
      </c>
      <c r="L7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46186</v>
      </c>
      <c r="M73" s="7">
        <v>0.35416666666666669</v>
      </c>
      <c r="R73" s="8"/>
      <c r="S73" s="2"/>
      <c r="T73" s="32" t="str">
        <f>TEXT(U73, "dddd")</f>
        <v>sábado</v>
      </c>
      <c r="U7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46193</v>
      </c>
      <c r="V73" s="7">
        <v>0.35416666666666669</v>
      </c>
      <c r="AA73" s="8"/>
      <c r="AB73" s="2"/>
      <c r="AC73" s="32" t="str">
        <f>TEXT(AD73, "dddd")</f>
        <v>sábado</v>
      </c>
      <c r="AD73" s="24">
        <f>DATE($F$1,MATCH($E$1,{"Janeiro";"Fevereiro";"Março";"Abril";"Maio";"Junho";"Julho";"Agosto";"Setembro";"Outubro";"Novembro";"Dezembro"},0),1)+MOD(8-WEEKDAY(DATE($F$1,MATCH($E$1,{"Janeiro";"Fevereiro";"Março";"Abril";"Maio";"Junho";"Julho";"Agosto";"Setembro";"Outubro";"Novembro";"Dezembro"},0),1),2),7)+INT((INT((ROW()-3)/14)+INT((COLUMN()-3)/9)*6)/6)*7+MOD(INT((ROW()-3)/14)+INT((COLUMN()-3)/9)*6,6)</f>
        <v>46200</v>
      </c>
      <c r="AE73" s="7">
        <v>0.35416666666666669</v>
      </c>
      <c r="AF73" s="5" t="s">
        <v>13</v>
      </c>
      <c r="AJ73" s="8"/>
      <c r="AK73" s="2"/>
      <c r="AL73" s="22" t="s">
        <v>18</v>
      </c>
      <c r="AM73" s="6"/>
      <c r="AN73" s="7"/>
      <c r="AT73" s="2"/>
    </row>
    <row r="74" spans="1:46" ht="23.25" customHeight="1">
      <c r="A74" s="2"/>
      <c r="B74" s="32"/>
      <c r="C74" s="25"/>
      <c r="D74" s="7">
        <v>0.39583333333333298</v>
      </c>
      <c r="I74" s="8"/>
      <c r="J74" s="2"/>
      <c r="K74" s="32"/>
      <c r="L74" s="25"/>
      <c r="M74" s="7">
        <v>0.39583333333333298</v>
      </c>
      <c r="R74" s="8"/>
      <c r="S74" s="2"/>
      <c r="T74" s="32"/>
      <c r="U74" s="25"/>
      <c r="V74" s="7">
        <v>0.39583333333333298</v>
      </c>
      <c r="AA74" s="8"/>
      <c r="AB74" s="2"/>
      <c r="AC74" s="32"/>
      <c r="AD74" s="25"/>
      <c r="AE74" s="7">
        <v>0.39583333333333298</v>
      </c>
      <c r="AJ74" s="8"/>
      <c r="AK74" s="2"/>
      <c r="AL74" s="31" t="s">
        <v>19</v>
      </c>
      <c r="AM74" s="31"/>
      <c r="AN74" s="31"/>
      <c r="AO74" s="31"/>
      <c r="AP74" s="31"/>
      <c r="AQ74" s="31"/>
      <c r="AR74" s="31"/>
      <c r="AS74" s="31"/>
      <c r="AT74" s="2"/>
    </row>
    <row r="75" spans="1:46" ht="23.25" customHeight="1">
      <c r="A75" s="2"/>
      <c r="B75" s="32"/>
      <c r="C75" s="26"/>
      <c r="D75" s="7">
        <v>0.4375</v>
      </c>
      <c r="I75" s="8"/>
      <c r="J75" s="2"/>
      <c r="K75" s="32"/>
      <c r="L75" s="26"/>
      <c r="M75" s="7">
        <v>0.4375</v>
      </c>
      <c r="R75" s="8"/>
      <c r="S75" s="2"/>
      <c r="T75" s="32"/>
      <c r="U75" s="26"/>
      <c r="V75" s="7">
        <v>0.4375</v>
      </c>
      <c r="AA75" s="8"/>
      <c r="AB75" s="2"/>
      <c r="AC75" s="32"/>
      <c r="AD75" s="26"/>
      <c r="AE75" s="7">
        <v>0.4375</v>
      </c>
      <c r="AJ75" s="8"/>
      <c r="AK75" s="2"/>
      <c r="AL75" s="15" t="s">
        <v>12</v>
      </c>
      <c r="AM75" s="5">
        <f>COUNTIF(I3:I75,"Compareceu")+COUNTIF(R3:R75,"Compareceu")+COUNTIF(AA3:AA75,"Compareceu")+COUNTIF(AJ3:AJ75,"Compareceu")+COUNTIF(AS3:AS29,"Compareceu")</f>
        <v>8</v>
      </c>
      <c r="AN75" s="7"/>
      <c r="AO75" s="15" t="s">
        <v>20</v>
      </c>
      <c r="AP75" s="5">
        <f>COUNTIF(I3:I75,"Faltou")+COUNTIF(R3:R75,"Faltou")+COUNTIF(AA3:AA75,"Faltou")+COUNTIF(AJ3:AJ75,"Faltou")+COUNTIF(AS3:AS29,"Faltou")</f>
        <v>0</v>
      </c>
      <c r="AR75" s="15" t="s">
        <v>21</v>
      </c>
      <c r="AS75" s="5">
        <f>COUNTIF(I3:I75,"Desmarcado")+COUNTIF(R3:R75,"Desmarcado")+COUNTIF(AA3:AA75,"Desmarcado")+COUNTIF(AJ3:AJ75,"Desmarcado")+COUNTIF(AS3:AS29,"Desmarcado")</f>
        <v>2</v>
      </c>
      <c r="AT75" s="2"/>
    </row>
    <row r="76" spans="1:46" ht="23.25" customHeight="1">
      <c r="A76" s="2"/>
      <c r="B76" s="2"/>
      <c r="C76" s="12"/>
      <c r="D76" s="14"/>
      <c r="E76" s="2"/>
      <c r="F76" s="2"/>
      <c r="G76" s="2"/>
      <c r="H76" s="2"/>
      <c r="I76" s="13"/>
      <c r="J76" s="2"/>
      <c r="K76" s="2"/>
      <c r="L76" s="2"/>
      <c r="M76" s="2"/>
      <c r="N76" s="2"/>
      <c r="O76" s="2"/>
      <c r="P76" s="2"/>
      <c r="Q76" s="2"/>
      <c r="R76" s="13"/>
      <c r="S76" s="2"/>
      <c r="T76" s="2"/>
      <c r="U76" s="12"/>
      <c r="V76" s="14"/>
      <c r="W76" s="2"/>
      <c r="X76" s="2"/>
      <c r="Y76" s="2"/>
      <c r="Z76" s="2"/>
      <c r="AA76" s="13"/>
      <c r="AB76" s="2"/>
      <c r="AC76" s="2"/>
      <c r="AD76" s="2"/>
      <c r="AE76" s="2"/>
      <c r="AF76" s="2"/>
      <c r="AG76" s="2"/>
      <c r="AH76" s="2"/>
      <c r="AI76" s="2"/>
      <c r="AJ76" s="13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23.25" customHeight="1">
      <c r="D77" s="7"/>
      <c r="I77" s="8"/>
      <c r="R77" s="8"/>
      <c r="AA77" s="8"/>
      <c r="AJ77" s="8"/>
      <c r="AS77" s="8"/>
    </row>
    <row r="78" spans="1:46" ht="23.25" customHeight="1">
      <c r="D78" s="7"/>
      <c r="I78" s="8"/>
      <c r="R78" s="8"/>
      <c r="AA78" s="8"/>
      <c r="AJ78" s="8"/>
      <c r="AS78" s="8"/>
    </row>
    <row r="79" spans="1:46" ht="23.25" customHeight="1">
      <c r="D79" s="7"/>
      <c r="I79" s="8"/>
      <c r="R79" s="8"/>
      <c r="AA79" s="8"/>
      <c r="AJ79" s="8"/>
      <c r="AS79" s="8"/>
    </row>
    <row r="80" spans="1:46" ht="23.25" customHeight="1">
      <c r="D80" s="7"/>
      <c r="I80" s="8"/>
      <c r="R80" s="8"/>
      <c r="AA80" s="8"/>
      <c r="AJ80" s="8"/>
      <c r="AS80" s="8"/>
    </row>
    <row r="81" spans="4:45" ht="23.25" customHeight="1">
      <c r="D81" s="7"/>
      <c r="I81" s="8"/>
      <c r="R81" s="8"/>
      <c r="AA81" s="8"/>
      <c r="AJ81" s="8"/>
      <c r="AS81" s="8"/>
    </row>
    <row r="82" spans="4:45" ht="23.25" customHeight="1">
      <c r="D82" s="7"/>
      <c r="I82" s="8"/>
      <c r="R82" s="8"/>
      <c r="AA82" s="8"/>
      <c r="AJ82" s="8"/>
      <c r="AS82" s="8"/>
    </row>
    <row r="83" spans="4:45" ht="23.25" customHeight="1">
      <c r="D83" s="7"/>
      <c r="I83" s="8"/>
      <c r="R83" s="8"/>
      <c r="AA83" s="8"/>
      <c r="AJ83" s="8"/>
      <c r="AS83" s="8"/>
    </row>
    <row r="84" spans="4:45" ht="23.25" customHeight="1">
      <c r="D84" s="7"/>
      <c r="I84" s="8"/>
      <c r="R84" s="8"/>
      <c r="AA84" s="8"/>
      <c r="AJ84" s="8"/>
      <c r="AS84" s="8"/>
    </row>
    <row r="85" spans="4:45" ht="23.25" customHeight="1">
      <c r="D85" s="7"/>
      <c r="I85" s="8"/>
      <c r="R85" s="8"/>
      <c r="AA85" s="8"/>
      <c r="AJ85" s="8"/>
      <c r="AS85" s="8"/>
    </row>
    <row r="86" spans="4:45">
      <c r="D86" s="7"/>
      <c r="I86" s="8"/>
      <c r="R86" s="8"/>
      <c r="AA86" s="8"/>
      <c r="AJ86" s="8"/>
      <c r="AS86" s="8"/>
    </row>
    <row r="87" spans="4:45">
      <c r="D87" s="7"/>
      <c r="I87" s="8"/>
      <c r="R87" s="8"/>
      <c r="AA87" s="8"/>
      <c r="AJ87" s="8"/>
      <c r="AS87" s="8"/>
    </row>
    <row r="88" spans="4:45">
      <c r="D88" s="7"/>
      <c r="I88" s="8"/>
      <c r="R88" s="8"/>
      <c r="AA88" s="8"/>
      <c r="AJ88" s="8"/>
      <c r="AS88" s="8"/>
    </row>
    <row r="89" spans="4:45">
      <c r="D89" s="7"/>
      <c r="I89" s="8"/>
      <c r="R89" s="8"/>
      <c r="AA89" s="8"/>
      <c r="AJ89" s="8"/>
      <c r="AS89" s="8"/>
    </row>
    <row r="90" spans="4:45">
      <c r="I90" s="8"/>
      <c r="R90" s="8"/>
      <c r="AA90" s="8"/>
      <c r="AJ90" s="8"/>
      <c r="AS90" s="8"/>
    </row>
    <row r="91" spans="4:45">
      <c r="I91" s="8"/>
      <c r="R91" s="8"/>
      <c r="AA91" s="8"/>
      <c r="AJ91" s="8"/>
      <c r="AS91" s="8"/>
    </row>
    <row r="92" spans="4:45">
      <c r="I92" s="8"/>
      <c r="R92" s="8"/>
      <c r="AA92" s="8"/>
      <c r="AJ92" s="8"/>
      <c r="AS92" s="8"/>
    </row>
    <row r="93" spans="4:45">
      <c r="I93" s="8"/>
      <c r="R93" s="8"/>
      <c r="AA93" s="8"/>
      <c r="AJ93" s="8"/>
      <c r="AS93" s="8"/>
    </row>
    <row r="94" spans="4:45">
      <c r="I94" s="8"/>
      <c r="R94" s="8"/>
      <c r="AA94" s="8"/>
      <c r="AJ94" s="8"/>
      <c r="AS94" s="8"/>
    </row>
    <row r="95" spans="4:45">
      <c r="I95" s="8"/>
      <c r="R95" s="8"/>
      <c r="AA95" s="8"/>
      <c r="AJ95" s="8"/>
      <c r="AS95" s="8"/>
    </row>
    <row r="96" spans="4:45">
      <c r="I96" s="8"/>
      <c r="R96" s="8"/>
      <c r="AA96" s="8"/>
      <c r="AJ96" s="8"/>
      <c r="AS96" s="8"/>
    </row>
    <row r="97" spans="9:45">
      <c r="I97" s="8"/>
      <c r="R97" s="8"/>
      <c r="AA97" s="8"/>
      <c r="AJ97" s="8"/>
      <c r="AS97" s="8"/>
    </row>
    <row r="98" spans="9:45">
      <c r="I98" s="8"/>
      <c r="R98" s="8"/>
      <c r="AA98" s="8"/>
      <c r="AJ98" s="8"/>
      <c r="AS98" s="8"/>
    </row>
    <row r="99" spans="9:45">
      <c r="I99" s="8"/>
      <c r="R99" s="8"/>
      <c r="AA99" s="8"/>
      <c r="AJ99" s="8"/>
      <c r="AS99" s="8"/>
    </row>
    <row r="100" spans="9:45">
      <c r="I100" s="8"/>
      <c r="R100" s="8"/>
      <c r="AA100" s="8"/>
      <c r="AJ100" s="8"/>
      <c r="AS100" s="8"/>
    </row>
    <row r="101" spans="9:45">
      <c r="I101" s="8"/>
      <c r="R101" s="8"/>
      <c r="AA101" s="8"/>
      <c r="AJ101" s="8"/>
      <c r="AS101" s="8"/>
    </row>
    <row r="102" spans="9:45">
      <c r="I102" s="8"/>
      <c r="R102" s="8"/>
      <c r="AA102" s="8"/>
      <c r="AJ102" s="8"/>
      <c r="AS102" s="8"/>
    </row>
    <row r="103" spans="9:45">
      <c r="I103" s="8"/>
      <c r="R103" s="8"/>
      <c r="AA103" s="8"/>
      <c r="AJ103" s="8"/>
      <c r="AS103" s="8"/>
    </row>
    <row r="104" spans="9:45">
      <c r="I104" s="8"/>
      <c r="R104" s="8"/>
      <c r="AA104" s="8"/>
      <c r="AJ104" s="8"/>
      <c r="AS104" s="8"/>
    </row>
    <row r="105" spans="9:45">
      <c r="I105" s="8"/>
      <c r="R105" s="8"/>
      <c r="AA105" s="8"/>
      <c r="AJ105" s="8"/>
      <c r="AS105" s="8"/>
    </row>
    <row r="106" spans="9:45">
      <c r="I106" s="8"/>
      <c r="R106" s="8"/>
      <c r="AA106" s="8"/>
      <c r="AJ106" s="8"/>
      <c r="AS106" s="8"/>
    </row>
    <row r="107" spans="9:45">
      <c r="I107" s="8"/>
      <c r="R107" s="8"/>
      <c r="AA107" s="8"/>
      <c r="AJ107" s="8"/>
      <c r="AS107" s="8"/>
    </row>
    <row r="108" spans="9:45">
      <c r="I108" s="8"/>
      <c r="R108" s="8"/>
      <c r="AA108" s="8"/>
      <c r="AJ108" s="8"/>
      <c r="AS108" s="8"/>
    </row>
    <row r="109" spans="9:45">
      <c r="I109" s="8"/>
      <c r="R109" s="8"/>
      <c r="AA109" s="8"/>
      <c r="AJ109" s="8"/>
      <c r="AS109" s="8"/>
    </row>
    <row r="110" spans="9:45">
      <c r="I110" s="8"/>
      <c r="R110" s="8"/>
      <c r="AA110" s="8"/>
      <c r="AJ110" s="8"/>
      <c r="AS110" s="8"/>
    </row>
    <row r="111" spans="9:45">
      <c r="I111" s="8"/>
      <c r="R111" s="8"/>
      <c r="AA111" s="8"/>
      <c r="AJ111" s="8"/>
      <c r="AS111" s="8"/>
    </row>
    <row r="112" spans="9:45">
      <c r="I112" s="8"/>
      <c r="R112" s="8"/>
      <c r="AA112" s="8"/>
      <c r="AJ112" s="8"/>
      <c r="AS112" s="8"/>
    </row>
    <row r="113" spans="9:45">
      <c r="I113" s="8"/>
      <c r="R113" s="8"/>
      <c r="AA113" s="8"/>
      <c r="AJ113" s="8"/>
      <c r="AS113" s="8"/>
    </row>
    <row r="114" spans="9:45">
      <c r="I114" s="8"/>
      <c r="R114" s="8"/>
      <c r="AA114" s="8"/>
      <c r="AJ114" s="8"/>
      <c r="AS114" s="8"/>
    </row>
    <row r="115" spans="9:45">
      <c r="I115" s="8"/>
      <c r="R115" s="8"/>
      <c r="AA115" s="8"/>
      <c r="AJ115" s="8"/>
      <c r="AS115" s="8"/>
    </row>
    <row r="116" spans="9:45">
      <c r="I116" s="8"/>
      <c r="R116" s="8"/>
      <c r="AA116" s="8"/>
      <c r="AJ116" s="8"/>
      <c r="AS116" s="8"/>
    </row>
    <row r="117" spans="9:45">
      <c r="I117" s="8"/>
      <c r="R117" s="8"/>
      <c r="AA117" s="8"/>
      <c r="AJ117" s="8"/>
      <c r="AS117" s="8"/>
    </row>
    <row r="118" spans="9:45">
      <c r="I118" s="8"/>
      <c r="R118" s="8"/>
      <c r="AA118" s="8"/>
      <c r="AJ118" s="8"/>
      <c r="AS118" s="8"/>
    </row>
    <row r="119" spans="9:45">
      <c r="I119" s="8"/>
      <c r="R119" s="8"/>
      <c r="AA119" s="8"/>
      <c r="AJ119" s="8"/>
      <c r="AS119" s="8"/>
    </row>
    <row r="120" spans="9:45">
      <c r="I120" s="8"/>
      <c r="R120" s="8"/>
      <c r="AA120" s="8"/>
      <c r="AJ120" s="8"/>
      <c r="AS120" s="8"/>
    </row>
    <row r="121" spans="9:45">
      <c r="I121" s="8"/>
      <c r="R121" s="8"/>
      <c r="AA121" s="8"/>
      <c r="AJ121" s="8"/>
      <c r="AS121" s="8"/>
    </row>
    <row r="122" spans="9:45">
      <c r="I122" s="8"/>
      <c r="R122" s="8"/>
      <c r="AA122" s="8"/>
      <c r="AJ122" s="8"/>
      <c r="AS122" s="8"/>
    </row>
    <row r="123" spans="9:45">
      <c r="I123" s="8"/>
      <c r="R123" s="8"/>
      <c r="AA123" s="8"/>
      <c r="AJ123" s="8"/>
      <c r="AS123" s="8"/>
    </row>
    <row r="124" spans="9:45">
      <c r="I124" s="8"/>
      <c r="R124" s="8"/>
      <c r="AA124" s="8"/>
      <c r="AJ124" s="8"/>
      <c r="AS124" s="8"/>
    </row>
    <row r="125" spans="9:45">
      <c r="I125" s="8"/>
      <c r="R125" s="8"/>
      <c r="AA125" s="8"/>
      <c r="AJ125" s="8"/>
      <c r="AS125" s="8"/>
    </row>
    <row r="126" spans="9:45">
      <c r="I126" s="8"/>
      <c r="R126" s="8"/>
      <c r="AA126" s="8"/>
      <c r="AJ126" s="8"/>
      <c r="AS126" s="8"/>
    </row>
    <row r="127" spans="9:45">
      <c r="I127" s="8"/>
      <c r="R127" s="8"/>
      <c r="AA127" s="8"/>
      <c r="AJ127" s="8"/>
      <c r="AS127" s="8"/>
    </row>
    <row r="128" spans="9:45">
      <c r="I128" s="8"/>
      <c r="R128" s="8"/>
      <c r="AA128" s="8"/>
      <c r="AJ128" s="8"/>
      <c r="AS128" s="8"/>
    </row>
    <row r="129" spans="9:45">
      <c r="I129" s="8"/>
      <c r="R129" s="8"/>
      <c r="AA129" s="8"/>
      <c r="AJ129" s="8"/>
      <c r="AS129" s="8"/>
    </row>
    <row r="130" spans="9:45">
      <c r="I130" s="8"/>
      <c r="R130" s="8"/>
      <c r="AA130" s="8"/>
      <c r="AJ130" s="8"/>
      <c r="AS130" s="8"/>
    </row>
    <row r="131" spans="9:45">
      <c r="I131" s="8"/>
      <c r="R131" s="8"/>
      <c r="AA131" s="8"/>
      <c r="AJ131" s="8"/>
      <c r="AS131" s="8"/>
    </row>
    <row r="132" spans="9:45">
      <c r="I132" s="8"/>
      <c r="R132" s="8"/>
      <c r="AA132" s="8"/>
      <c r="AJ132" s="8"/>
      <c r="AS132" s="8"/>
    </row>
    <row r="133" spans="9:45">
      <c r="I133" s="8"/>
      <c r="R133" s="8"/>
      <c r="AA133" s="8"/>
      <c r="AJ133" s="8"/>
      <c r="AS133" s="8"/>
    </row>
    <row r="134" spans="9:45">
      <c r="I134" s="8"/>
      <c r="R134" s="8"/>
      <c r="AA134" s="8"/>
      <c r="AJ134" s="8"/>
      <c r="AS134" s="8"/>
    </row>
    <row r="135" spans="9:45">
      <c r="I135" s="8"/>
      <c r="R135" s="8"/>
      <c r="AA135" s="8"/>
      <c r="AJ135" s="8"/>
      <c r="AS135" s="8"/>
    </row>
    <row r="136" spans="9:45">
      <c r="I136" s="8"/>
      <c r="R136" s="8"/>
      <c r="AA136" s="8"/>
      <c r="AJ136" s="8"/>
      <c r="AS136" s="8"/>
    </row>
    <row r="137" spans="9:45">
      <c r="I137" s="8"/>
      <c r="R137" s="8"/>
      <c r="AA137" s="8"/>
      <c r="AJ137" s="8"/>
      <c r="AS137" s="8"/>
    </row>
    <row r="138" spans="9:45">
      <c r="I138" s="8"/>
      <c r="R138" s="8"/>
      <c r="AA138" s="8"/>
      <c r="AJ138" s="8"/>
      <c r="AS138" s="8"/>
    </row>
    <row r="139" spans="9:45">
      <c r="I139" s="8"/>
      <c r="R139" s="8"/>
      <c r="AA139" s="8"/>
      <c r="AJ139" s="8"/>
      <c r="AS139" s="8"/>
    </row>
    <row r="140" spans="9:45">
      <c r="I140" s="8"/>
      <c r="R140" s="8"/>
      <c r="AA140" s="8"/>
      <c r="AJ140" s="8"/>
      <c r="AS140" s="8"/>
    </row>
    <row r="141" spans="9:45">
      <c r="I141" s="8"/>
      <c r="R141" s="8"/>
      <c r="AA141" s="8"/>
      <c r="AJ141" s="8"/>
      <c r="AS141" s="8"/>
    </row>
    <row r="142" spans="9:45">
      <c r="I142" s="8"/>
      <c r="R142" s="8"/>
      <c r="AA142" s="8"/>
      <c r="AJ142" s="8"/>
      <c r="AS142" s="8"/>
    </row>
    <row r="143" spans="9:45">
      <c r="I143" s="8"/>
      <c r="R143" s="8"/>
      <c r="AA143" s="8"/>
      <c r="AJ143" s="8"/>
      <c r="AS143" s="8"/>
    </row>
    <row r="144" spans="9:45">
      <c r="I144" s="8"/>
      <c r="R144" s="8"/>
      <c r="AA144" s="8"/>
      <c r="AJ144" s="8"/>
      <c r="AS144" s="8"/>
    </row>
    <row r="145" spans="9:45">
      <c r="I145" s="8"/>
      <c r="R145" s="8"/>
      <c r="AA145" s="8"/>
      <c r="AJ145" s="8"/>
      <c r="AS145" s="8"/>
    </row>
    <row r="146" spans="9:45">
      <c r="I146" s="8"/>
      <c r="R146" s="8"/>
      <c r="AA146" s="8"/>
      <c r="AJ146" s="8"/>
      <c r="AS146" s="8"/>
    </row>
    <row r="147" spans="9:45">
      <c r="I147" s="8"/>
      <c r="R147" s="8"/>
      <c r="AA147" s="8"/>
      <c r="AJ147" s="8"/>
      <c r="AS147" s="8"/>
    </row>
    <row r="148" spans="9:45">
      <c r="I148" s="8"/>
      <c r="R148" s="8"/>
      <c r="AA148" s="8"/>
      <c r="AJ148" s="8"/>
      <c r="AS148" s="8"/>
    </row>
    <row r="149" spans="9:45">
      <c r="I149" s="8"/>
      <c r="R149" s="8"/>
      <c r="AA149" s="8"/>
      <c r="AJ149" s="8"/>
      <c r="AS149" s="8"/>
    </row>
    <row r="150" spans="9:45">
      <c r="I150" s="8"/>
      <c r="R150" s="8"/>
      <c r="AA150" s="8"/>
      <c r="AJ150" s="8"/>
      <c r="AS150" s="8"/>
    </row>
    <row r="151" spans="9:45">
      <c r="I151" s="8"/>
      <c r="R151" s="8"/>
      <c r="AA151" s="8"/>
      <c r="AJ151" s="8"/>
      <c r="AS151" s="8"/>
    </row>
    <row r="152" spans="9:45">
      <c r="I152" s="8"/>
      <c r="R152" s="8"/>
      <c r="AA152" s="8"/>
      <c r="AJ152" s="8"/>
      <c r="AS152" s="8"/>
    </row>
    <row r="153" spans="9:45">
      <c r="I153" s="8"/>
      <c r="R153" s="8"/>
      <c r="AA153" s="8"/>
      <c r="AJ153" s="8"/>
      <c r="AS153" s="8"/>
    </row>
    <row r="154" spans="9:45">
      <c r="I154" s="8"/>
      <c r="R154" s="8"/>
      <c r="AA154" s="8"/>
      <c r="AJ154" s="8"/>
      <c r="AS154" s="8"/>
    </row>
    <row r="155" spans="9:45">
      <c r="I155" s="8"/>
      <c r="R155" s="8"/>
      <c r="AA155" s="8"/>
      <c r="AJ155" s="8"/>
      <c r="AS155" s="8"/>
    </row>
    <row r="156" spans="9:45">
      <c r="I156" s="8"/>
      <c r="R156" s="8"/>
      <c r="AA156" s="8"/>
      <c r="AJ156" s="8"/>
      <c r="AS156" s="8"/>
    </row>
    <row r="157" spans="9:45">
      <c r="I157" s="8"/>
      <c r="R157" s="8"/>
      <c r="AA157" s="8"/>
      <c r="AJ157" s="8"/>
      <c r="AS157" s="8"/>
    </row>
    <row r="158" spans="9:45">
      <c r="I158" s="8"/>
      <c r="R158" s="8"/>
      <c r="AA158" s="8"/>
      <c r="AJ158" s="8"/>
      <c r="AS158" s="8"/>
    </row>
    <row r="159" spans="9:45">
      <c r="I159" s="8"/>
      <c r="R159" s="8"/>
      <c r="AA159" s="8"/>
      <c r="AJ159" s="8"/>
      <c r="AS159" s="8"/>
    </row>
    <row r="160" spans="9:45">
      <c r="I160" s="8"/>
      <c r="R160" s="8"/>
      <c r="AA160" s="8"/>
      <c r="AJ160" s="8"/>
      <c r="AS160" s="8"/>
    </row>
    <row r="161" spans="9:45">
      <c r="I161" s="8"/>
      <c r="R161" s="8"/>
      <c r="AA161" s="8"/>
      <c r="AJ161" s="8"/>
      <c r="AS161" s="8"/>
    </row>
    <row r="162" spans="9:45">
      <c r="I162" s="8"/>
      <c r="R162" s="8"/>
      <c r="AA162" s="8"/>
      <c r="AJ162" s="8"/>
      <c r="AS162" s="8"/>
    </row>
    <row r="163" spans="9:45">
      <c r="I163" s="8"/>
      <c r="R163" s="8"/>
      <c r="AA163" s="8"/>
      <c r="AJ163" s="8"/>
      <c r="AS163" s="8"/>
    </row>
    <row r="164" spans="9:45">
      <c r="I164" s="8"/>
      <c r="R164" s="8"/>
      <c r="AA164" s="8"/>
      <c r="AJ164" s="8"/>
      <c r="AS164" s="8"/>
    </row>
    <row r="165" spans="9:45">
      <c r="I165" s="8"/>
      <c r="R165" s="8"/>
      <c r="AA165" s="8"/>
      <c r="AJ165" s="8"/>
      <c r="AS165" s="8"/>
    </row>
    <row r="166" spans="9:45">
      <c r="I166" s="8"/>
      <c r="R166" s="8"/>
      <c r="AA166" s="8"/>
      <c r="AJ166" s="8"/>
      <c r="AS166" s="8"/>
    </row>
    <row r="167" spans="9:45">
      <c r="I167" s="8"/>
      <c r="R167" s="8"/>
      <c r="AA167" s="8"/>
      <c r="AJ167" s="8"/>
      <c r="AS167" s="8"/>
    </row>
    <row r="168" spans="9:45">
      <c r="I168" s="8"/>
      <c r="R168" s="8"/>
      <c r="AA168" s="8"/>
      <c r="AJ168" s="8"/>
      <c r="AS168" s="8"/>
    </row>
    <row r="169" spans="9:45">
      <c r="I169" s="8"/>
      <c r="R169" s="8"/>
      <c r="AA169" s="8"/>
      <c r="AJ169" s="8"/>
      <c r="AS169" s="8"/>
    </row>
    <row r="170" spans="9:45">
      <c r="I170" s="8"/>
      <c r="R170" s="8"/>
      <c r="AA170" s="8"/>
      <c r="AJ170" s="8"/>
      <c r="AS170" s="8"/>
    </row>
    <row r="171" spans="9:45">
      <c r="I171" s="8"/>
      <c r="R171" s="8"/>
      <c r="AA171" s="8"/>
      <c r="AJ171" s="8"/>
      <c r="AS171" s="8"/>
    </row>
    <row r="172" spans="9:45">
      <c r="I172" s="8"/>
      <c r="R172" s="8"/>
      <c r="AA172" s="8"/>
      <c r="AJ172" s="8"/>
      <c r="AS172" s="8"/>
    </row>
    <row r="173" spans="9:45">
      <c r="I173" s="8"/>
      <c r="R173" s="8"/>
      <c r="AA173" s="8"/>
      <c r="AJ173" s="8"/>
      <c r="AS173" s="8"/>
    </row>
    <row r="174" spans="9:45">
      <c r="I174" s="8"/>
      <c r="R174" s="8"/>
      <c r="AA174" s="8"/>
      <c r="AJ174" s="8"/>
      <c r="AS174" s="8"/>
    </row>
    <row r="175" spans="9:45">
      <c r="I175" s="8"/>
      <c r="R175" s="8"/>
      <c r="AA175" s="8"/>
      <c r="AJ175" s="8"/>
      <c r="AS175" s="8"/>
    </row>
    <row r="176" spans="9:45">
      <c r="I176" s="8"/>
      <c r="R176" s="8"/>
      <c r="AA176" s="8"/>
      <c r="AJ176" s="8"/>
      <c r="AS176" s="8"/>
    </row>
    <row r="177" spans="9:45">
      <c r="I177" s="8"/>
      <c r="R177" s="8"/>
      <c r="AA177" s="8"/>
      <c r="AJ177" s="8"/>
      <c r="AS177" s="8"/>
    </row>
    <row r="178" spans="9:45">
      <c r="I178" s="8"/>
      <c r="R178" s="8"/>
      <c r="AA178" s="8"/>
      <c r="AJ178" s="8"/>
      <c r="AS178" s="8"/>
    </row>
    <row r="179" spans="9:45">
      <c r="I179" s="8"/>
      <c r="R179" s="8"/>
      <c r="AA179" s="8"/>
      <c r="AJ179" s="8"/>
      <c r="AS179" s="8"/>
    </row>
    <row r="180" spans="9:45">
      <c r="I180" s="8"/>
      <c r="R180" s="8"/>
      <c r="AA180" s="8"/>
      <c r="AJ180" s="8"/>
      <c r="AS180" s="8"/>
    </row>
    <row r="181" spans="9:45">
      <c r="I181" s="8"/>
      <c r="R181" s="8"/>
      <c r="AA181" s="8"/>
      <c r="AJ181" s="8"/>
      <c r="AS181" s="8"/>
    </row>
    <row r="182" spans="9:45">
      <c r="I182" s="8"/>
      <c r="R182" s="8"/>
      <c r="AA182" s="8"/>
      <c r="AJ182" s="8"/>
      <c r="AS182" s="8"/>
    </row>
    <row r="183" spans="9:45">
      <c r="I183" s="8"/>
      <c r="R183" s="8"/>
      <c r="AA183" s="8"/>
      <c r="AJ183" s="8"/>
      <c r="AS183" s="8"/>
    </row>
    <row r="184" spans="9:45">
      <c r="I184" s="8"/>
      <c r="R184" s="8"/>
      <c r="AA184" s="8"/>
      <c r="AJ184" s="8"/>
      <c r="AS184" s="8"/>
    </row>
    <row r="185" spans="9:45">
      <c r="I185" s="8"/>
      <c r="R185" s="8"/>
      <c r="AA185" s="8"/>
      <c r="AJ185" s="8"/>
      <c r="AS185" s="8"/>
    </row>
    <row r="186" spans="9:45">
      <c r="I186" s="8"/>
      <c r="R186" s="8"/>
      <c r="AA186" s="8"/>
      <c r="AJ186" s="8"/>
      <c r="AS186" s="8"/>
    </row>
    <row r="187" spans="9:45">
      <c r="I187" s="8"/>
      <c r="R187" s="8"/>
      <c r="AA187" s="8"/>
      <c r="AJ187" s="8"/>
      <c r="AS187" s="8"/>
    </row>
    <row r="188" spans="9:45">
      <c r="I188" s="8"/>
      <c r="R188" s="8"/>
      <c r="AA188" s="8"/>
      <c r="AJ188" s="8"/>
      <c r="AS188" s="8"/>
    </row>
    <row r="189" spans="9:45">
      <c r="I189" s="8"/>
      <c r="R189" s="8"/>
      <c r="AA189" s="8"/>
      <c r="AJ189" s="8"/>
      <c r="AS189" s="8"/>
    </row>
    <row r="190" spans="9:45">
      <c r="I190" s="8"/>
      <c r="R190" s="8"/>
      <c r="AA190" s="8"/>
      <c r="AJ190" s="8"/>
      <c r="AS190" s="8"/>
    </row>
    <row r="191" spans="9:45">
      <c r="I191" s="8"/>
      <c r="R191" s="8"/>
      <c r="AA191" s="8"/>
      <c r="AJ191" s="8"/>
      <c r="AS191" s="8"/>
    </row>
    <row r="192" spans="9:45">
      <c r="I192" s="8"/>
      <c r="R192" s="8"/>
      <c r="AA192" s="8"/>
      <c r="AJ192" s="8"/>
      <c r="AS192" s="8"/>
    </row>
    <row r="193" spans="9:45">
      <c r="I193" s="8"/>
      <c r="R193" s="8"/>
      <c r="AA193" s="8"/>
      <c r="AJ193" s="8"/>
      <c r="AS193" s="8"/>
    </row>
    <row r="194" spans="9:45">
      <c r="I194" s="8"/>
      <c r="R194" s="8"/>
      <c r="AA194" s="8"/>
      <c r="AJ194" s="8"/>
      <c r="AS194" s="8"/>
    </row>
    <row r="195" spans="9:45">
      <c r="I195" s="8"/>
      <c r="R195" s="8"/>
      <c r="AA195" s="8"/>
      <c r="AJ195" s="8"/>
      <c r="AS195" s="8"/>
    </row>
    <row r="196" spans="9:45">
      <c r="I196" s="8"/>
      <c r="R196" s="8"/>
      <c r="AA196" s="8"/>
      <c r="AJ196" s="8"/>
      <c r="AS196" s="8"/>
    </row>
    <row r="197" spans="9:45">
      <c r="I197" s="8"/>
      <c r="R197" s="8"/>
      <c r="AA197" s="8"/>
      <c r="AJ197" s="8"/>
      <c r="AS197" s="8"/>
    </row>
    <row r="198" spans="9:45">
      <c r="I198" s="8"/>
      <c r="R198" s="8"/>
      <c r="AA198" s="8"/>
      <c r="AJ198" s="8"/>
      <c r="AS198" s="8"/>
    </row>
    <row r="199" spans="9:45">
      <c r="I199" s="8"/>
      <c r="R199" s="8"/>
      <c r="AA199" s="8"/>
      <c r="AJ199" s="8"/>
      <c r="AS199" s="8"/>
    </row>
    <row r="200" spans="9:45">
      <c r="I200" s="8"/>
      <c r="R200" s="8"/>
      <c r="AA200" s="8"/>
      <c r="AJ200" s="8"/>
      <c r="AS200" s="8"/>
    </row>
    <row r="201" spans="9:45">
      <c r="I201" s="8"/>
      <c r="R201" s="8"/>
      <c r="AA201" s="8"/>
      <c r="AJ201" s="8"/>
      <c r="AS201" s="8"/>
    </row>
    <row r="202" spans="9:45">
      <c r="I202" s="8"/>
      <c r="R202" s="8"/>
      <c r="AA202" s="8"/>
      <c r="AJ202" s="8"/>
      <c r="AS202" s="8"/>
    </row>
    <row r="203" spans="9:45">
      <c r="I203" s="8"/>
      <c r="R203" s="8"/>
      <c r="AA203" s="8"/>
      <c r="AJ203" s="8"/>
      <c r="AS203" s="8"/>
    </row>
    <row r="204" spans="9:45">
      <c r="I204" s="8"/>
      <c r="R204" s="8"/>
      <c r="AA204" s="8"/>
      <c r="AJ204" s="8"/>
      <c r="AS204" s="8"/>
    </row>
    <row r="205" spans="9:45">
      <c r="I205" s="8"/>
      <c r="R205" s="8"/>
      <c r="AA205" s="8"/>
      <c r="AJ205" s="8"/>
      <c r="AS205" s="8"/>
    </row>
    <row r="206" spans="9:45">
      <c r="I206" s="8"/>
      <c r="R206" s="8"/>
      <c r="AA206" s="8"/>
      <c r="AJ206" s="8"/>
      <c r="AS206" s="8"/>
    </row>
    <row r="207" spans="9:45">
      <c r="I207" s="8"/>
      <c r="R207" s="8"/>
      <c r="AA207" s="8"/>
      <c r="AJ207" s="8"/>
      <c r="AS207" s="8"/>
    </row>
    <row r="208" spans="9:45">
      <c r="I208" s="8"/>
      <c r="R208" s="8"/>
      <c r="AA208" s="8"/>
      <c r="AJ208" s="8"/>
      <c r="AS208" s="8"/>
    </row>
    <row r="209" spans="9:45">
      <c r="I209" s="8"/>
      <c r="R209" s="8"/>
      <c r="AA209" s="8"/>
      <c r="AJ209" s="8"/>
      <c r="AS209" s="8"/>
    </row>
    <row r="210" spans="9:45">
      <c r="I210" s="8"/>
      <c r="R210" s="8"/>
      <c r="AA210" s="8"/>
      <c r="AJ210" s="8"/>
      <c r="AS210" s="8"/>
    </row>
    <row r="211" spans="9:45">
      <c r="I211" s="8"/>
      <c r="R211" s="8"/>
      <c r="AA211" s="8"/>
      <c r="AJ211" s="8"/>
      <c r="AS211" s="8"/>
    </row>
    <row r="212" spans="9:45">
      <c r="I212" s="8"/>
      <c r="R212" s="8"/>
      <c r="AA212" s="8"/>
      <c r="AJ212" s="8"/>
      <c r="AS212" s="8"/>
    </row>
    <row r="213" spans="9:45">
      <c r="I213" s="8"/>
      <c r="R213" s="8"/>
      <c r="AA213" s="8"/>
      <c r="AJ213" s="8"/>
      <c r="AS213" s="8"/>
    </row>
    <row r="214" spans="9:45">
      <c r="I214" s="8"/>
      <c r="R214" s="8"/>
      <c r="AA214" s="8"/>
      <c r="AJ214" s="8"/>
      <c r="AS214" s="8"/>
    </row>
    <row r="215" spans="9:45">
      <c r="I215" s="8"/>
      <c r="R215" s="8"/>
      <c r="AA215" s="8"/>
      <c r="AJ215" s="8"/>
      <c r="AS215" s="8"/>
    </row>
    <row r="216" spans="9:45">
      <c r="I216" s="8"/>
      <c r="R216" s="8"/>
      <c r="AA216" s="8"/>
      <c r="AJ216" s="8"/>
      <c r="AS216" s="8"/>
    </row>
    <row r="217" spans="9:45">
      <c r="I217" s="8"/>
      <c r="R217" s="8"/>
      <c r="AA217" s="8"/>
      <c r="AJ217" s="8"/>
      <c r="AS217" s="8"/>
    </row>
    <row r="218" spans="9:45">
      <c r="I218" s="8"/>
      <c r="R218" s="8"/>
      <c r="AA218" s="8"/>
      <c r="AJ218" s="8"/>
      <c r="AS218" s="8"/>
    </row>
    <row r="219" spans="9:45">
      <c r="I219" s="8"/>
      <c r="R219" s="8"/>
      <c r="AA219" s="8"/>
      <c r="AJ219" s="8"/>
      <c r="AS219" s="8"/>
    </row>
    <row r="220" spans="9:45">
      <c r="I220" s="8"/>
      <c r="R220" s="8"/>
      <c r="AA220" s="8"/>
      <c r="AJ220" s="8"/>
      <c r="AS220" s="8"/>
    </row>
    <row r="221" spans="9:45">
      <c r="I221" s="8"/>
      <c r="R221" s="8"/>
      <c r="AA221" s="8"/>
      <c r="AJ221" s="8"/>
      <c r="AS221" s="8"/>
    </row>
    <row r="222" spans="9:45">
      <c r="I222" s="8"/>
      <c r="R222" s="8"/>
      <c r="AA222" s="8"/>
      <c r="AJ222" s="8"/>
      <c r="AS222" s="8"/>
    </row>
    <row r="223" spans="9:45">
      <c r="I223" s="8"/>
      <c r="R223" s="8"/>
      <c r="AA223" s="8"/>
      <c r="AJ223" s="8"/>
      <c r="AS223" s="8"/>
    </row>
    <row r="224" spans="9:45">
      <c r="I224" s="8"/>
      <c r="R224" s="8"/>
      <c r="AA224" s="8"/>
      <c r="AJ224" s="8"/>
      <c r="AS224" s="8"/>
    </row>
    <row r="225" spans="9:45">
      <c r="I225" s="8"/>
      <c r="R225" s="8"/>
      <c r="AA225" s="8"/>
      <c r="AJ225" s="8"/>
      <c r="AS225" s="8"/>
    </row>
    <row r="226" spans="9:45">
      <c r="I226" s="8"/>
      <c r="R226" s="8"/>
      <c r="AA226" s="8"/>
      <c r="AJ226" s="8"/>
      <c r="AS226" s="8"/>
    </row>
    <row r="227" spans="9:45">
      <c r="I227" s="8"/>
      <c r="R227" s="8"/>
      <c r="AA227" s="8"/>
      <c r="AJ227" s="8"/>
      <c r="AS227" s="8"/>
    </row>
    <row r="228" spans="9:45">
      <c r="I228" s="8"/>
      <c r="R228" s="8"/>
      <c r="AA228" s="8"/>
      <c r="AJ228" s="8"/>
      <c r="AS228" s="8"/>
    </row>
    <row r="229" spans="9:45">
      <c r="I229" s="8"/>
      <c r="R229" s="8"/>
      <c r="AA229" s="8"/>
      <c r="AJ229" s="8"/>
      <c r="AS229" s="8"/>
    </row>
    <row r="230" spans="9:45">
      <c r="I230" s="8"/>
      <c r="R230" s="8"/>
      <c r="AA230" s="8"/>
      <c r="AJ230" s="8"/>
      <c r="AS230" s="8"/>
    </row>
    <row r="231" spans="9:45">
      <c r="I231" s="8"/>
      <c r="R231" s="8"/>
      <c r="AA231" s="8"/>
      <c r="AJ231" s="8"/>
      <c r="AS231" s="8"/>
    </row>
    <row r="232" spans="9:45">
      <c r="I232" s="8"/>
      <c r="R232" s="8"/>
      <c r="AA232" s="8"/>
      <c r="AJ232" s="8"/>
      <c r="AS232" s="8"/>
    </row>
    <row r="233" spans="9:45">
      <c r="I233" s="8"/>
      <c r="R233" s="8"/>
      <c r="AA233" s="8"/>
      <c r="AJ233" s="8"/>
      <c r="AS233" s="8"/>
    </row>
    <row r="234" spans="9:45">
      <c r="I234" s="8"/>
      <c r="R234" s="8"/>
      <c r="AA234" s="8"/>
      <c r="AJ234" s="8"/>
      <c r="AS234" s="8"/>
    </row>
    <row r="235" spans="9:45">
      <c r="I235" s="8"/>
      <c r="R235" s="8"/>
      <c r="AA235" s="8"/>
      <c r="AJ235" s="8"/>
      <c r="AS235" s="8"/>
    </row>
    <row r="236" spans="9:45">
      <c r="I236" s="8"/>
      <c r="R236" s="8"/>
      <c r="AA236" s="8"/>
      <c r="AJ236" s="8"/>
      <c r="AS236" s="8"/>
    </row>
    <row r="237" spans="9:45">
      <c r="I237" s="8"/>
      <c r="R237" s="8"/>
      <c r="AA237" s="8"/>
      <c r="AJ237" s="8"/>
      <c r="AS237" s="8"/>
    </row>
    <row r="238" spans="9:45">
      <c r="I238" s="8"/>
      <c r="R238" s="8"/>
      <c r="AA238" s="8"/>
      <c r="AJ238" s="8"/>
      <c r="AS238" s="8"/>
    </row>
    <row r="239" spans="9:45">
      <c r="I239" s="8"/>
      <c r="R239" s="8"/>
      <c r="AA239" s="8"/>
      <c r="AJ239" s="8"/>
      <c r="AS239" s="8"/>
    </row>
    <row r="240" spans="9:45">
      <c r="I240" s="8"/>
      <c r="R240" s="8"/>
      <c r="AA240" s="8"/>
      <c r="AJ240" s="8"/>
      <c r="AS240" s="8"/>
    </row>
    <row r="241" spans="9:45">
      <c r="I241" s="8"/>
      <c r="R241" s="8"/>
      <c r="AA241" s="8"/>
      <c r="AJ241" s="8"/>
      <c r="AS241" s="8"/>
    </row>
    <row r="242" spans="9:45">
      <c r="I242" s="8"/>
      <c r="R242" s="8"/>
      <c r="AA242" s="8"/>
      <c r="AJ242" s="8"/>
      <c r="AS242" s="8"/>
    </row>
    <row r="243" spans="9:45">
      <c r="I243" s="8"/>
      <c r="R243" s="8"/>
      <c r="AA243" s="8"/>
      <c r="AJ243" s="8"/>
      <c r="AS243" s="8"/>
    </row>
    <row r="244" spans="9:45">
      <c r="I244" s="8"/>
      <c r="R244" s="8"/>
      <c r="AA244" s="8"/>
      <c r="AJ244" s="8"/>
      <c r="AS244" s="8"/>
    </row>
    <row r="245" spans="9:45">
      <c r="I245" s="8"/>
      <c r="R245" s="8"/>
      <c r="AA245" s="8"/>
      <c r="AJ245" s="8"/>
      <c r="AS245" s="8"/>
    </row>
    <row r="246" spans="9:45">
      <c r="I246" s="8"/>
      <c r="R246" s="8"/>
      <c r="AA246" s="8"/>
      <c r="AJ246" s="8"/>
      <c r="AS246" s="8"/>
    </row>
    <row r="247" spans="9:45">
      <c r="I247" s="8"/>
      <c r="R247" s="8"/>
      <c r="AA247" s="8"/>
      <c r="AJ247" s="8"/>
      <c r="AS247" s="8"/>
    </row>
    <row r="248" spans="9:45">
      <c r="I248" s="8"/>
      <c r="R248" s="8"/>
      <c r="AA248" s="8"/>
      <c r="AJ248" s="8"/>
      <c r="AS248" s="8"/>
    </row>
    <row r="249" spans="9:45">
      <c r="I249" s="8"/>
      <c r="R249" s="8"/>
      <c r="AA249" s="8"/>
      <c r="AJ249" s="8"/>
      <c r="AS249" s="8"/>
    </row>
    <row r="250" spans="9:45">
      <c r="I250" s="8"/>
      <c r="R250" s="8"/>
      <c r="AA250" s="8"/>
      <c r="AJ250" s="8"/>
      <c r="AS250" s="8"/>
    </row>
    <row r="251" spans="9:45">
      <c r="I251" s="8"/>
      <c r="R251" s="8"/>
      <c r="AA251" s="8"/>
      <c r="AJ251" s="8"/>
      <c r="AS251" s="8"/>
    </row>
    <row r="252" spans="9:45">
      <c r="I252" s="8"/>
      <c r="R252" s="8"/>
      <c r="AA252" s="8"/>
      <c r="AJ252" s="8"/>
      <c r="AS252" s="8"/>
    </row>
    <row r="253" spans="9:45">
      <c r="I253" s="8"/>
      <c r="R253" s="8"/>
      <c r="AA253" s="8"/>
      <c r="AJ253" s="8"/>
      <c r="AS253" s="8"/>
    </row>
    <row r="254" spans="9:45">
      <c r="I254" s="8"/>
      <c r="R254" s="8"/>
      <c r="AA254" s="8"/>
      <c r="AJ254" s="8"/>
      <c r="AS254" s="8"/>
    </row>
    <row r="255" spans="9:45">
      <c r="I255" s="8"/>
      <c r="R255" s="8"/>
      <c r="AA255" s="8"/>
      <c r="AJ255" s="8"/>
      <c r="AS255" s="8"/>
    </row>
    <row r="256" spans="9:45">
      <c r="I256" s="8"/>
      <c r="R256" s="8"/>
      <c r="AA256" s="8"/>
      <c r="AJ256" s="8"/>
      <c r="AS256" s="8"/>
    </row>
    <row r="257" spans="9:45">
      <c r="I257" s="8"/>
      <c r="R257" s="8"/>
      <c r="AA257" s="8"/>
      <c r="AJ257" s="8"/>
      <c r="AS257" s="8"/>
    </row>
    <row r="258" spans="9:45">
      <c r="I258" s="8"/>
      <c r="R258" s="8"/>
      <c r="AA258" s="8"/>
      <c r="AJ258" s="8"/>
      <c r="AS258" s="8"/>
    </row>
    <row r="259" spans="9:45">
      <c r="I259" s="8"/>
      <c r="R259" s="8"/>
      <c r="AA259" s="8"/>
      <c r="AJ259" s="8"/>
      <c r="AS259" s="8"/>
    </row>
    <row r="260" spans="9:45">
      <c r="I260" s="8"/>
      <c r="R260" s="8"/>
      <c r="AA260" s="8"/>
      <c r="AJ260" s="8"/>
      <c r="AS260" s="8"/>
    </row>
    <row r="261" spans="9:45">
      <c r="I261" s="8"/>
      <c r="R261" s="8"/>
      <c r="AA261" s="8"/>
      <c r="AJ261" s="8"/>
      <c r="AS261" s="8"/>
    </row>
    <row r="262" spans="9:45">
      <c r="I262" s="8"/>
      <c r="R262" s="8"/>
      <c r="AA262" s="8"/>
      <c r="AJ262" s="8"/>
      <c r="AS262" s="8"/>
    </row>
    <row r="263" spans="9:45">
      <c r="I263" s="8"/>
      <c r="R263" s="8"/>
      <c r="AA263" s="8"/>
      <c r="AJ263" s="8"/>
      <c r="AS263" s="8"/>
    </row>
    <row r="264" spans="9:45">
      <c r="I264" s="8"/>
      <c r="R264" s="8"/>
      <c r="AA264" s="8"/>
      <c r="AJ264" s="8"/>
      <c r="AS264" s="8"/>
    </row>
    <row r="265" spans="9:45">
      <c r="I265" s="8"/>
      <c r="R265" s="8"/>
      <c r="AA265" s="8"/>
      <c r="AJ265" s="8"/>
      <c r="AS265" s="8"/>
    </row>
    <row r="266" spans="9:45">
      <c r="I266" s="8"/>
      <c r="R266" s="8"/>
      <c r="AA266" s="8"/>
      <c r="AJ266" s="8"/>
      <c r="AS266" s="8"/>
    </row>
    <row r="267" spans="9:45">
      <c r="I267" s="8"/>
      <c r="R267" s="8"/>
      <c r="AA267" s="8"/>
      <c r="AJ267" s="8"/>
      <c r="AS267" s="8"/>
    </row>
    <row r="268" spans="9:45">
      <c r="I268" s="8"/>
      <c r="R268" s="8"/>
      <c r="AA268" s="8"/>
      <c r="AJ268" s="8"/>
      <c r="AS268" s="8"/>
    </row>
    <row r="269" spans="9:45">
      <c r="I269" s="8"/>
      <c r="R269" s="8"/>
      <c r="AA269" s="8"/>
      <c r="AJ269" s="8"/>
      <c r="AS269" s="8"/>
    </row>
    <row r="270" spans="9:45">
      <c r="I270" s="8"/>
      <c r="R270" s="8"/>
      <c r="AA270" s="8"/>
      <c r="AJ270" s="8"/>
      <c r="AS270" s="8"/>
    </row>
    <row r="271" spans="9:45">
      <c r="I271" s="8"/>
      <c r="R271" s="8"/>
      <c r="AA271" s="8"/>
      <c r="AJ271" s="8"/>
      <c r="AS271" s="8"/>
    </row>
    <row r="272" spans="9:45">
      <c r="I272" s="8"/>
      <c r="R272" s="8"/>
      <c r="AA272" s="8"/>
      <c r="AJ272" s="8"/>
      <c r="AS272" s="8"/>
    </row>
    <row r="273" spans="9:45">
      <c r="I273" s="8"/>
      <c r="R273" s="8"/>
      <c r="AA273" s="8"/>
      <c r="AJ273" s="8"/>
      <c r="AS273" s="8"/>
    </row>
    <row r="274" spans="9:45">
      <c r="I274" s="8"/>
      <c r="R274" s="8"/>
      <c r="AA274" s="8"/>
      <c r="AJ274" s="8"/>
      <c r="AS274" s="8"/>
    </row>
    <row r="275" spans="9:45">
      <c r="I275" s="8"/>
      <c r="R275" s="8"/>
      <c r="AA275" s="8"/>
      <c r="AJ275" s="8"/>
      <c r="AS275" s="8"/>
    </row>
    <row r="276" spans="9:45">
      <c r="I276" s="8"/>
      <c r="R276" s="8"/>
      <c r="AA276" s="8"/>
      <c r="AJ276" s="8"/>
      <c r="AS276" s="8"/>
    </row>
    <row r="277" spans="9:45">
      <c r="I277" s="8"/>
      <c r="R277" s="8"/>
      <c r="AA277" s="8"/>
      <c r="AJ277" s="8"/>
      <c r="AS277" s="8"/>
    </row>
    <row r="278" spans="9:45">
      <c r="I278" s="8"/>
      <c r="R278" s="8"/>
      <c r="AA278" s="8"/>
      <c r="AJ278" s="8"/>
      <c r="AS278" s="8"/>
    </row>
    <row r="279" spans="9:45">
      <c r="I279" s="8"/>
      <c r="R279" s="8"/>
      <c r="AA279" s="8"/>
      <c r="AJ279" s="8"/>
      <c r="AS279" s="8"/>
    </row>
    <row r="280" spans="9:45">
      <c r="I280" s="8"/>
      <c r="R280" s="8"/>
      <c r="AA280" s="8"/>
      <c r="AJ280" s="8"/>
      <c r="AS280" s="8"/>
    </row>
    <row r="281" spans="9:45">
      <c r="I281" s="8"/>
      <c r="R281" s="8"/>
      <c r="AA281" s="8"/>
      <c r="AJ281" s="8"/>
      <c r="AS281" s="8"/>
    </row>
    <row r="282" spans="9:45">
      <c r="I282" s="8"/>
      <c r="R282" s="8"/>
      <c r="AA282" s="8"/>
      <c r="AJ282" s="8"/>
      <c r="AS282" s="8"/>
    </row>
    <row r="283" spans="9:45">
      <c r="I283" s="8"/>
      <c r="R283" s="8"/>
      <c r="AA283" s="8"/>
      <c r="AJ283" s="8"/>
      <c r="AS283" s="8"/>
    </row>
    <row r="284" spans="9:45">
      <c r="I284" s="8"/>
      <c r="R284" s="8"/>
      <c r="AA284" s="8"/>
      <c r="AJ284" s="8"/>
      <c r="AS284" s="8"/>
    </row>
    <row r="285" spans="9:45">
      <c r="I285" s="8"/>
      <c r="R285" s="8"/>
      <c r="AA285" s="8"/>
      <c r="AJ285" s="8"/>
      <c r="AS285" s="8"/>
    </row>
    <row r="286" spans="9:45">
      <c r="I286" s="8"/>
      <c r="R286" s="8"/>
      <c r="AA286" s="8"/>
      <c r="AJ286" s="8"/>
      <c r="AS286" s="8"/>
    </row>
    <row r="287" spans="9:45">
      <c r="I287" s="8"/>
      <c r="R287" s="8"/>
      <c r="AA287" s="8"/>
      <c r="AJ287" s="8"/>
      <c r="AS287" s="8"/>
    </row>
    <row r="288" spans="9:45">
      <c r="I288" s="8"/>
      <c r="R288" s="8"/>
      <c r="AA288" s="8"/>
      <c r="AJ288" s="8"/>
      <c r="AS288" s="8"/>
    </row>
    <row r="289" spans="9:45">
      <c r="I289" s="8"/>
      <c r="R289" s="8"/>
      <c r="AA289" s="8"/>
      <c r="AJ289" s="8"/>
      <c r="AS289" s="8"/>
    </row>
    <row r="290" spans="9:45">
      <c r="I290" s="8"/>
      <c r="R290" s="8"/>
      <c r="AA290" s="8"/>
      <c r="AJ290" s="8"/>
      <c r="AS290" s="8"/>
    </row>
    <row r="291" spans="9:45">
      <c r="I291" s="8"/>
      <c r="R291" s="8"/>
      <c r="AA291" s="8"/>
      <c r="AJ291" s="8"/>
      <c r="AS291" s="8"/>
    </row>
    <row r="292" spans="9:45">
      <c r="I292" s="8"/>
      <c r="R292" s="8"/>
      <c r="AA292" s="8"/>
      <c r="AJ292" s="8"/>
      <c r="AS292" s="8"/>
    </row>
    <row r="293" spans="9:45">
      <c r="I293" s="8"/>
      <c r="R293" s="8"/>
      <c r="AA293" s="8"/>
      <c r="AJ293" s="8"/>
      <c r="AS293" s="8"/>
    </row>
    <row r="294" spans="9:45">
      <c r="I294" s="8"/>
      <c r="R294" s="8"/>
      <c r="AA294" s="8"/>
      <c r="AJ294" s="8"/>
      <c r="AS294" s="8"/>
    </row>
    <row r="295" spans="9:45">
      <c r="I295" s="8"/>
      <c r="R295" s="8"/>
      <c r="AA295" s="8"/>
      <c r="AJ295" s="8"/>
      <c r="AS295" s="8"/>
    </row>
    <row r="296" spans="9:45">
      <c r="I296" s="8"/>
      <c r="R296" s="8"/>
      <c r="AA296" s="8"/>
      <c r="AJ296" s="8"/>
      <c r="AS296" s="8"/>
    </row>
    <row r="297" spans="9:45">
      <c r="I297" s="8"/>
      <c r="R297" s="8"/>
      <c r="AA297" s="8"/>
      <c r="AJ297" s="8"/>
      <c r="AS297" s="8"/>
    </row>
    <row r="298" spans="9:45">
      <c r="I298" s="8"/>
      <c r="R298" s="8"/>
      <c r="AA298" s="8"/>
      <c r="AJ298" s="8"/>
      <c r="AS298" s="8"/>
    </row>
    <row r="299" spans="9:45">
      <c r="I299" s="8"/>
      <c r="R299" s="8"/>
      <c r="AA299" s="8"/>
      <c r="AJ299" s="8"/>
      <c r="AS299" s="8"/>
    </row>
    <row r="300" spans="9:45">
      <c r="I300" s="8"/>
      <c r="R300" s="8"/>
      <c r="AA300" s="8"/>
      <c r="AJ300" s="8"/>
      <c r="AS300" s="8"/>
    </row>
    <row r="301" spans="9:45">
      <c r="I301" s="8"/>
      <c r="R301" s="8"/>
      <c r="AA301" s="8"/>
      <c r="AJ301" s="8"/>
      <c r="AS301" s="8"/>
    </row>
    <row r="302" spans="9:45">
      <c r="I302" s="8"/>
      <c r="R302" s="8"/>
      <c r="AA302" s="8"/>
      <c r="AJ302" s="8"/>
      <c r="AS302" s="8"/>
    </row>
    <row r="303" spans="9:45">
      <c r="I303" s="8"/>
      <c r="R303" s="8"/>
      <c r="AA303" s="8"/>
      <c r="AJ303" s="8"/>
      <c r="AS303" s="8"/>
    </row>
    <row r="304" spans="9:45">
      <c r="I304" s="8"/>
      <c r="R304" s="8"/>
      <c r="AA304" s="8"/>
      <c r="AJ304" s="8"/>
      <c r="AS304" s="8"/>
    </row>
    <row r="305" spans="9:45">
      <c r="I305" s="8"/>
      <c r="R305" s="8"/>
      <c r="AA305" s="8"/>
      <c r="AJ305" s="8"/>
      <c r="AS305" s="8"/>
    </row>
    <row r="306" spans="9:45">
      <c r="I306" s="8"/>
      <c r="R306" s="8"/>
      <c r="AA306" s="8"/>
      <c r="AJ306" s="8"/>
      <c r="AS306" s="8"/>
    </row>
    <row r="307" spans="9:45">
      <c r="I307" s="8"/>
      <c r="R307" s="8"/>
      <c r="AA307" s="8"/>
      <c r="AJ307" s="8"/>
      <c r="AS307" s="8"/>
    </row>
    <row r="308" spans="9:45">
      <c r="I308" s="8"/>
      <c r="R308" s="8"/>
      <c r="AA308" s="8"/>
      <c r="AJ308" s="8"/>
      <c r="AS308" s="8"/>
    </row>
    <row r="309" spans="9:45">
      <c r="I309" s="8"/>
      <c r="R309" s="8"/>
      <c r="AA309" s="8"/>
      <c r="AJ309" s="8"/>
      <c r="AS309" s="8"/>
    </row>
    <row r="310" spans="9:45">
      <c r="I310" s="8"/>
      <c r="R310" s="8"/>
      <c r="AA310" s="8"/>
      <c r="AJ310" s="8"/>
      <c r="AS310" s="8"/>
    </row>
    <row r="311" spans="9:45">
      <c r="I311" s="8"/>
      <c r="R311" s="8"/>
      <c r="AA311" s="8"/>
      <c r="AJ311" s="8"/>
      <c r="AS311" s="8"/>
    </row>
    <row r="312" spans="9:45">
      <c r="I312" s="8"/>
      <c r="R312" s="8"/>
      <c r="AA312" s="8"/>
      <c r="AJ312" s="8"/>
      <c r="AS312" s="8"/>
    </row>
    <row r="313" spans="9:45">
      <c r="I313" s="8"/>
      <c r="R313" s="8"/>
      <c r="AA313" s="8"/>
      <c r="AJ313" s="8"/>
      <c r="AS313" s="8"/>
    </row>
    <row r="314" spans="9:45">
      <c r="I314" s="8"/>
      <c r="R314" s="8"/>
      <c r="AA314" s="8"/>
      <c r="AJ314" s="8"/>
      <c r="AS314" s="8"/>
    </row>
    <row r="315" spans="9:45">
      <c r="I315" s="8"/>
      <c r="R315" s="8"/>
      <c r="AA315" s="8"/>
      <c r="AJ315" s="8"/>
      <c r="AS315" s="8"/>
    </row>
    <row r="316" spans="9:45">
      <c r="I316" s="8"/>
      <c r="R316" s="8"/>
      <c r="AA316" s="8"/>
      <c r="AJ316" s="8"/>
      <c r="AS316" s="8"/>
    </row>
    <row r="317" spans="9:45">
      <c r="I317" s="8"/>
      <c r="R317" s="8"/>
      <c r="AA317" s="8"/>
      <c r="AJ317" s="8"/>
      <c r="AS317" s="8"/>
    </row>
    <row r="318" spans="9:45">
      <c r="I318" s="8"/>
      <c r="R318" s="8"/>
      <c r="AA318" s="8"/>
      <c r="AJ318" s="8"/>
      <c r="AS318" s="8"/>
    </row>
    <row r="319" spans="9:45">
      <c r="I319" s="8"/>
      <c r="R319" s="8"/>
      <c r="AA319" s="8"/>
      <c r="AJ319" s="8"/>
      <c r="AS319" s="8"/>
    </row>
    <row r="320" spans="9:45">
      <c r="I320" s="8"/>
      <c r="R320" s="8"/>
      <c r="AA320" s="8"/>
      <c r="AJ320" s="8"/>
      <c r="AS320" s="8"/>
    </row>
    <row r="321" spans="9:45">
      <c r="I321" s="8"/>
      <c r="R321" s="8"/>
      <c r="AA321" s="8"/>
      <c r="AJ321" s="8"/>
      <c r="AS321" s="8"/>
    </row>
    <row r="322" spans="9:45">
      <c r="I322" s="8"/>
      <c r="R322" s="8"/>
      <c r="AA322" s="8"/>
      <c r="AJ322" s="8"/>
      <c r="AS322" s="8"/>
    </row>
    <row r="323" spans="9:45">
      <c r="I323" s="8"/>
      <c r="R323" s="8"/>
      <c r="AA323" s="8"/>
      <c r="AJ323" s="8"/>
      <c r="AS323" s="8"/>
    </row>
    <row r="324" spans="9:45">
      <c r="I324" s="8"/>
      <c r="R324" s="8"/>
      <c r="AA324" s="8"/>
      <c r="AJ324" s="8"/>
      <c r="AS324" s="8"/>
    </row>
    <row r="325" spans="9:45">
      <c r="I325" s="8"/>
      <c r="R325" s="8"/>
      <c r="AA325" s="8"/>
      <c r="AJ325" s="8"/>
      <c r="AS325" s="8"/>
    </row>
    <row r="326" spans="9:45">
      <c r="I326" s="8"/>
      <c r="R326" s="8"/>
      <c r="AA326" s="8"/>
      <c r="AJ326" s="8"/>
      <c r="AS326" s="8"/>
    </row>
    <row r="327" spans="9:45">
      <c r="I327" s="8"/>
      <c r="R327" s="8"/>
      <c r="AA327" s="8"/>
      <c r="AJ327" s="8"/>
      <c r="AS327" s="8"/>
    </row>
    <row r="328" spans="9:45">
      <c r="I328" s="8"/>
      <c r="R328" s="8"/>
      <c r="AA328" s="8"/>
      <c r="AJ328" s="8"/>
      <c r="AS328" s="8"/>
    </row>
    <row r="329" spans="9:45">
      <c r="I329" s="8"/>
      <c r="R329" s="8"/>
      <c r="AA329" s="8"/>
      <c r="AJ329" s="8"/>
      <c r="AS329" s="8"/>
    </row>
    <row r="330" spans="9:45">
      <c r="I330" s="8"/>
      <c r="R330" s="8"/>
      <c r="AA330" s="8"/>
      <c r="AJ330" s="8"/>
      <c r="AS330" s="8"/>
    </row>
    <row r="331" spans="9:45">
      <c r="I331" s="8"/>
      <c r="R331" s="8"/>
      <c r="AA331" s="8"/>
      <c r="AJ331" s="8"/>
      <c r="AS331" s="8"/>
    </row>
    <row r="332" spans="9:45">
      <c r="I332" s="8"/>
      <c r="R332" s="8"/>
      <c r="AA332" s="8"/>
      <c r="AJ332" s="8"/>
      <c r="AS332" s="8"/>
    </row>
    <row r="333" spans="9:45">
      <c r="I333" s="8"/>
      <c r="R333" s="8"/>
      <c r="AA333" s="8"/>
      <c r="AJ333" s="8"/>
      <c r="AS333" s="8"/>
    </row>
    <row r="334" spans="9:45">
      <c r="I334" s="8"/>
      <c r="R334" s="8"/>
      <c r="AA334" s="8"/>
      <c r="AJ334" s="8"/>
      <c r="AS334" s="8"/>
    </row>
    <row r="335" spans="9:45">
      <c r="I335" s="8"/>
      <c r="R335" s="8"/>
      <c r="AA335" s="8"/>
      <c r="AJ335" s="8"/>
      <c r="AS335" s="8"/>
    </row>
    <row r="336" spans="9:45">
      <c r="I336" s="8"/>
      <c r="R336" s="8"/>
      <c r="AA336" s="8"/>
      <c r="AJ336" s="8"/>
      <c r="AS336" s="8"/>
    </row>
    <row r="337" spans="9:45">
      <c r="I337" s="8"/>
      <c r="R337" s="8"/>
      <c r="AA337" s="8"/>
      <c r="AJ337" s="8"/>
      <c r="AS337" s="8"/>
    </row>
    <row r="338" spans="9:45">
      <c r="I338" s="8"/>
      <c r="R338" s="8"/>
      <c r="AA338" s="8"/>
      <c r="AJ338" s="8"/>
      <c r="AS338" s="8"/>
    </row>
    <row r="339" spans="9:45">
      <c r="I339" s="8"/>
      <c r="R339" s="8"/>
      <c r="AA339" s="8"/>
      <c r="AJ339" s="8"/>
      <c r="AS339" s="8"/>
    </row>
    <row r="340" spans="9:45">
      <c r="I340" s="8"/>
      <c r="R340" s="8"/>
      <c r="AA340" s="8"/>
      <c r="AJ340" s="8"/>
      <c r="AS340" s="8"/>
    </row>
    <row r="341" spans="9:45">
      <c r="I341" s="8"/>
      <c r="R341" s="8"/>
      <c r="AA341" s="8"/>
      <c r="AJ341" s="8"/>
      <c r="AS341" s="8"/>
    </row>
    <row r="342" spans="9:45">
      <c r="I342" s="8"/>
      <c r="R342" s="8"/>
      <c r="AA342" s="8"/>
      <c r="AJ342" s="8"/>
      <c r="AS342" s="8"/>
    </row>
    <row r="343" spans="9:45">
      <c r="I343" s="8"/>
      <c r="R343" s="8"/>
      <c r="AA343" s="8"/>
      <c r="AJ343" s="8"/>
      <c r="AS343" s="8"/>
    </row>
    <row r="344" spans="9:45">
      <c r="I344" s="8"/>
      <c r="R344" s="8"/>
      <c r="AA344" s="8"/>
      <c r="AJ344" s="8"/>
      <c r="AS344" s="8"/>
    </row>
    <row r="345" spans="9:45">
      <c r="I345" s="8"/>
      <c r="R345" s="8"/>
      <c r="AA345" s="8"/>
      <c r="AJ345" s="8"/>
      <c r="AS345" s="8"/>
    </row>
    <row r="346" spans="9:45">
      <c r="I346" s="8"/>
      <c r="R346" s="8"/>
      <c r="AA346" s="8"/>
      <c r="AJ346" s="8"/>
      <c r="AS346" s="8"/>
    </row>
    <row r="347" spans="9:45">
      <c r="I347" s="8"/>
      <c r="R347" s="8"/>
      <c r="AA347" s="8"/>
      <c r="AJ347" s="8"/>
      <c r="AS347" s="8"/>
    </row>
    <row r="348" spans="9:45">
      <c r="I348" s="8"/>
      <c r="R348" s="8"/>
      <c r="AA348" s="8"/>
      <c r="AJ348" s="8"/>
      <c r="AS348" s="8"/>
    </row>
    <row r="349" spans="9:45">
      <c r="I349" s="8"/>
      <c r="R349" s="8"/>
      <c r="AA349" s="8"/>
      <c r="AJ349" s="8"/>
      <c r="AS349" s="8"/>
    </row>
    <row r="350" spans="9:45">
      <c r="I350" s="8"/>
      <c r="R350" s="8"/>
      <c r="AA350" s="8"/>
      <c r="AJ350" s="8"/>
      <c r="AS350" s="8"/>
    </row>
    <row r="351" spans="9:45">
      <c r="I351" s="8"/>
      <c r="R351" s="8"/>
      <c r="AA351" s="8"/>
      <c r="AJ351" s="8"/>
      <c r="AS351" s="8"/>
    </row>
    <row r="352" spans="9:45">
      <c r="I352" s="8"/>
      <c r="R352" s="8"/>
      <c r="AA352" s="8"/>
      <c r="AJ352" s="8"/>
      <c r="AS352" s="8"/>
    </row>
    <row r="353" spans="9:45">
      <c r="I353" s="8"/>
      <c r="R353" s="8"/>
      <c r="AA353" s="8"/>
      <c r="AJ353" s="8"/>
      <c r="AS353" s="8"/>
    </row>
    <row r="354" spans="9:45">
      <c r="I354" s="8"/>
      <c r="R354" s="8"/>
      <c r="AA354" s="8"/>
      <c r="AJ354" s="8"/>
      <c r="AS354" s="8"/>
    </row>
    <row r="355" spans="9:45">
      <c r="I355" s="8"/>
      <c r="R355" s="8"/>
      <c r="AA355" s="8"/>
      <c r="AJ355" s="8"/>
      <c r="AS355" s="8"/>
    </row>
    <row r="356" spans="9:45">
      <c r="I356" s="8"/>
      <c r="R356" s="8"/>
      <c r="AA356" s="8"/>
      <c r="AJ356" s="8"/>
      <c r="AS356" s="8"/>
    </row>
    <row r="357" spans="9:45">
      <c r="I357" s="8"/>
      <c r="R357" s="8"/>
      <c r="AA357" s="8"/>
      <c r="AJ357" s="8"/>
      <c r="AS357" s="8"/>
    </row>
    <row r="358" spans="9:45">
      <c r="I358" s="8"/>
      <c r="R358" s="8"/>
      <c r="AA358" s="8"/>
      <c r="AJ358" s="8"/>
      <c r="AS358" s="8"/>
    </row>
    <row r="359" spans="9:45">
      <c r="I359" s="8"/>
      <c r="R359" s="8"/>
      <c r="AA359" s="8"/>
      <c r="AJ359" s="8"/>
      <c r="AS359" s="8"/>
    </row>
    <row r="360" spans="9:45">
      <c r="I360" s="8"/>
      <c r="R360" s="8"/>
      <c r="AA360" s="8"/>
      <c r="AJ360" s="8"/>
      <c r="AS360" s="8"/>
    </row>
    <row r="361" spans="9:45">
      <c r="I361" s="8"/>
      <c r="R361" s="8"/>
      <c r="AA361" s="8"/>
      <c r="AJ361" s="8"/>
      <c r="AS361" s="8"/>
    </row>
    <row r="362" spans="9:45">
      <c r="I362" s="8"/>
      <c r="R362" s="8"/>
      <c r="AA362" s="8"/>
      <c r="AJ362" s="8"/>
      <c r="AS362" s="8"/>
    </row>
    <row r="363" spans="9:45">
      <c r="I363" s="8"/>
      <c r="R363" s="8"/>
      <c r="AA363" s="8"/>
      <c r="AJ363" s="8"/>
      <c r="AS363" s="8"/>
    </row>
    <row r="364" spans="9:45">
      <c r="I364" s="8"/>
      <c r="R364" s="8"/>
      <c r="AA364" s="8"/>
      <c r="AJ364" s="8"/>
      <c r="AS364" s="8"/>
    </row>
    <row r="365" spans="9:45">
      <c r="I365" s="8"/>
      <c r="R365" s="8"/>
      <c r="AA365" s="8"/>
      <c r="AJ365" s="8"/>
      <c r="AS365" s="8"/>
    </row>
    <row r="366" spans="9:45">
      <c r="I366" s="8"/>
      <c r="R366" s="8"/>
      <c r="AA366" s="8"/>
      <c r="AJ366" s="8"/>
      <c r="AS366" s="8"/>
    </row>
    <row r="367" spans="9:45">
      <c r="I367" s="8"/>
      <c r="R367" s="8"/>
      <c r="AA367" s="8"/>
      <c r="AJ367" s="8"/>
      <c r="AS367" s="8"/>
    </row>
    <row r="368" spans="9:45">
      <c r="I368" s="8"/>
      <c r="R368" s="8"/>
      <c r="AA368" s="8"/>
      <c r="AJ368" s="8"/>
      <c r="AS368" s="8"/>
    </row>
    <row r="369" spans="9:45">
      <c r="I369" s="8"/>
      <c r="R369" s="8"/>
      <c r="AA369" s="8"/>
      <c r="AJ369" s="8"/>
      <c r="AS369" s="8"/>
    </row>
    <row r="370" spans="9:45">
      <c r="I370" s="8"/>
      <c r="R370" s="8"/>
      <c r="AA370" s="8"/>
      <c r="AJ370" s="8"/>
      <c r="AS370" s="8"/>
    </row>
    <row r="371" spans="9:45">
      <c r="I371" s="8"/>
      <c r="R371" s="8"/>
      <c r="AA371" s="8"/>
      <c r="AJ371" s="8"/>
      <c r="AS371" s="8"/>
    </row>
    <row r="372" spans="9:45">
      <c r="I372" s="8"/>
      <c r="R372" s="8"/>
      <c r="AA372" s="8"/>
      <c r="AJ372" s="8"/>
      <c r="AS372" s="8"/>
    </row>
    <row r="373" spans="9:45">
      <c r="I373" s="8"/>
      <c r="R373" s="8"/>
      <c r="AA373" s="8"/>
      <c r="AJ373" s="8"/>
      <c r="AS373" s="8"/>
    </row>
    <row r="374" spans="9:45">
      <c r="I374" s="8"/>
      <c r="R374" s="8"/>
      <c r="AA374" s="8"/>
      <c r="AJ374" s="8"/>
      <c r="AS374" s="8"/>
    </row>
    <row r="375" spans="9:45">
      <c r="I375" s="8"/>
      <c r="R375" s="8"/>
      <c r="AA375" s="8"/>
      <c r="AJ375" s="8"/>
      <c r="AS375" s="8"/>
    </row>
    <row r="376" spans="9:45">
      <c r="I376" s="8"/>
      <c r="R376" s="8"/>
      <c r="AA376" s="8"/>
      <c r="AJ376" s="8"/>
      <c r="AS376" s="8"/>
    </row>
    <row r="377" spans="9:45">
      <c r="I377" s="8"/>
      <c r="R377" s="8"/>
      <c r="AA377" s="8"/>
      <c r="AJ377" s="8"/>
      <c r="AS377" s="8"/>
    </row>
    <row r="378" spans="9:45">
      <c r="I378" s="8"/>
      <c r="R378" s="8"/>
      <c r="AA378" s="8"/>
      <c r="AJ378" s="8"/>
      <c r="AS378" s="8"/>
    </row>
    <row r="379" spans="9:45">
      <c r="I379" s="8"/>
      <c r="R379" s="8"/>
      <c r="AA379" s="8"/>
      <c r="AJ379" s="8"/>
      <c r="AS379" s="8"/>
    </row>
    <row r="380" spans="9:45">
      <c r="I380" s="8"/>
      <c r="R380" s="8"/>
      <c r="AA380" s="8"/>
      <c r="AJ380" s="8"/>
      <c r="AS380" s="8"/>
    </row>
    <row r="381" spans="9:45">
      <c r="I381" s="8"/>
      <c r="R381" s="8"/>
      <c r="AA381" s="8"/>
      <c r="AJ381" s="8"/>
      <c r="AS381" s="8"/>
    </row>
    <row r="382" spans="9:45">
      <c r="I382" s="8"/>
      <c r="R382" s="8"/>
      <c r="AA382" s="8"/>
      <c r="AJ382" s="8"/>
      <c r="AS382" s="8"/>
    </row>
    <row r="383" spans="9:45">
      <c r="I383" s="8"/>
      <c r="R383" s="8"/>
      <c r="AA383" s="8"/>
      <c r="AJ383" s="8"/>
      <c r="AS383" s="8"/>
    </row>
    <row r="384" spans="9:45">
      <c r="I384" s="8"/>
      <c r="R384" s="8"/>
      <c r="AA384" s="8"/>
      <c r="AJ384" s="8"/>
      <c r="AS384" s="8"/>
    </row>
    <row r="385" spans="9:45">
      <c r="I385" s="8"/>
      <c r="R385" s="8"/>
      <c r="AA385" s="8"/>
      <c r="AJ385" s="8"/>
      <c r="AS385" s="8"/>
    </row>
    <row r="386" spans="9:45">
      <c r="I386" s="8"/>
      <c r="R386" s="8"/>
      <c r="AA386" s="8"/>
      <c r="AJ386" s="8"/>
      <c r="AS386" s="8"/>
    </row>
    <row r="387" spans="9:45">
      <c r="I387" s="8"/>
      <c r="R387" s="8"/>
      <c r="AA387" s="8"/>
      <c r="AJ387" s="8"/>
      <c r="AS387" s="8"/>
    </row>
    <row r="388" spans="9:45">
      <c r="I388" s="8"/>
      <c r="R388" s="8"/>
      <c r="AA388" s="8"/>
      <c r="AJ388" s="8"/>
      <c r="AS388" s="8"/>
    </row>
    <row r="389" spans="9:45">
      <c r="I389" s="8"/>
      <c r="R389" s="8"/>
      <c r="AA389" s="8"/>
      <c r="AJ389" s="8"/>
      <c r="AS389" s="8"/>
    </row>
    <row r="390" spans="9:45">
      <c r="I390" s="8"/>
      <c r="R390" s="8"/>
      <c r="AA390" s="8"/>
      <c r="AJ390" s="8"/>
      <c r="AS390" s="8"/>
    </row>
    <row r="391" spans="9:45">
      <c r="I391" s="8"/>
      <c r="R391" s="8"/>
      <c r="AA391" s="8"/>
      <c r="AJ391" s="8"/>
      <c r="AS391" s="8"/>
    </row>
    <row r="392" spans="9:45">
      <c r="I392" s="8"/>
      <c r="R392" s="8"/>
      <c r="AA392" s="8"/>
      <c r="AJ392" s="8"/>
      <c r="AS392" s="8"/>
    </row>
    <row r="393" spans="9:45">
      <c r="I393" s="8"/>
      <c r="R393" s="8"/>
      <c r="AA393" s="8"/>
      <c r="AJ393" s="8"/>
      <c r="AS393" s="8"/>
    </row>
    <row r="394" spans="9:45">
      <c r="I394" s="8"/>
      <c r="R394" s="8"/>
      <c r="AA394" s="8"/>
      <c r="AJ394" s="8"/>
      <c r="AS394" s="8"/>
    </row>
    <row r="395" spans="9:45">
      <c r="I395" s="8"/>
      <c r="R395" s="8"/>
      <c r="AA395" s="8"/>
      <c r="AJ395" s="8"/>
      <c r="AS395" s="8"/>
    </row>
    <row r="396" spans="9:45">
      <c r="I396" s="8"/>
      <c r="R396" s="8"/>
      <c r="AA396" s="8"/>
      <c r="AJ396" s="8"/>
      <c r="AS396" s="8"/>
    </row>
    <row r="397" spans="9:45">
      <c r="I397" s="8"/>
      <c r="R397" s="8"/>
      <c r="AA397" s="8"/>
      <c r="AJ397" s="8"/>
      <c r="AS397" s="8"/>
    </row>
    <row r="398" spans="9:45">
      <c r="I398" s="8"/>
      <c r="R398" s="8"/>
      <c r="AA398" s="8"/>
      <c r="AJ398" s="8"/>
      <c r="AS398" s="8"/>
    </row>
    <row r="399" spans="9:45">
      <c r="I399" s="8"/>
      <c r="R399" s="8"/>
      <c r="AA399" s="8"/>
      <c r="AJ399" s="8"/>
      <c r="AS399" s="8"/>
    </row>
    <row r="400" spans="9:45">
      <c r="I400" s="8"/>
      <c r="R400" s="8"/>
      <c r="AA400" s="8"/>
      <c r="AJ400" s="8"/>
      <c r="AS400" s="8"/>
    </row>
    <row r="401" spans="9:45">
      <c r="I401" s="8"/>
      <c r="R401" s="8"/>
      <c r="AA401" s="8"/>
      <c r="AJ401" s="8"/>
      <c r="AS401" s="8"/>
    </row>
    <row r="402" spans="9:45">
      <c r="I402" s="8"/>
      <c r="R402" s="8"/>
      <c r="AA402" s="8"/>
      <c r="AJ402" s="8"/>
      <c r="AS402" s="8"/>
    </row>
    <row r="403" spans="9:45">
      <c r="I403" s="8"/>
      <c r="R403" s="8"/>
      <c r="AA403" s="8"/>
      <c r="AJ403" s="8"/>
      <c r="AS403" s="8"/>
    </row>
    <row r="404" spans="9:45">
      <c r="I404" s="8"/>
      <c r="R404" s="8"/>
      <c r="AA404" s="8"/>
      <c r="AJ404" s="8"/>
      <c r="AS404" s="8"/>
    </row>
    <row r="405" spans="9:45">
      <c r="I405" s="8"/>
      <c r="R405" s="8"/>
      <c r="AA405" s="8"/>
      <c r="AJ405" s="8"/>
      <c r="AS405" s="8"/>
    </row>
    <row r="406" spans="9:45">
      <c r="I406" s="8"/>
      <c r="R406" s="8"/>
      <c r="AA406" s="8"/>
      <c r="AJ406" s="8"/>
      <c r="AS406" s="8"/>
    </row>
    <row r="407" spans="9:45">
      <c r="I407" s="8"/>
      <c r="R407" s="8"/>
      <c r="AA407" s="8"/>
      <c r="AJ407" s="8"/>
      <c r="AS407" s="8"/>
    </row>
    <row r="408" spans="9:45">
      <c r="I408" s="8"/>
      <c r="R408" s="8"/>
      <c r="AA408" s="8"/>
      <c r="AJ408" s="8"/>
      <c r="AS408" s="8"/>
    </row>
    <row r="409" spans="9:45">
      <c r="I409" s="8"/>
      <c r="R409" s="8"/>
      <c r="AA409" s="8"/>
      <c r="AJ409" s="8"/>
      <c r="AS409" s="8"/>
    </row>
    <row r="410" spans="9:45">
      <c r="I410" s="8"/>
      <c r="R410" s="8"/>
      <c r="AA410" s="8"/>
      <c r="AJ410" s="8"/>
      <c r="AS410" s="8"/>
    </row>
    <row r="411" spans="9:45">
      <c r="I411" s="8"/>
      <c r="R411" s="8"/>
      <c r="AA411" s="8"/>
      <c r="AJ411" s="8"/>
      <c r="AS411" s="8"/>
    </row>
    <row r="412" spans="9:45">
      <c r="I412" s="8"/>
      <c r="R412" s="8"/>
      <c r="AA412" s="8"/>
      <c r="AJ412" s="8"/>
      <c r="AS412" s="8"/>
    </row>
    <row r="413" spans="9:45">
      <c r="I413" s="8"/>
      <c r="R413" s="8"/>
      <c r="AA413" s="8"/>
      <c r="AJ413" s="8"/>
      <c r="AS413" s="8"/>
    </row>
    <row r="414" spans="9:45">
      <c r="I414" s="8"/>
      <c r="R414" s="8"/>
      <c r="AA414" s="8"/>
      <c r="AJ414" s="8"/>
      <c r="AS414" s="8"/>
    </row>
    <row r="415" spans="9:45">
      <c r="I415" s="8"/>
      <c r="R415" s="8"/>
      <c r="AA415" s="8"/>
      <c r="AJ415" s="8"/>
      <c r="AS415" s="8"/>
    </row>
    <row r="416" spans="9:45">
      <c r="I416" s="8"/>
      <c r="R416" s="8"/>
      <c r="AA416" s="8"/>
      <c r="AJ416" s="8"/>
      <c r="AS416" s="8"/>
    </row>
    <row r="417" spans="9:45">
      <c r="I417" s="8"/>
      <c r="R417" s="8"/>
      <c r="AA417" s="8"/>
      <c r="AJ417" s="8"/>
      <c r="AS417" s="8"/>
    </row>
    <row r="418" spans="9:45">
      <c r="I418" s="8"/>
      <c r="R418" s="8"/>
      <c r="AA418" s="8"/>
      <c r="AJ418" s="8"/>
      <c r="AS418" s="8"/>
    </row>
    <row r="419" spans="9:45">
      <c r="I419" s="8"/>
      <c r="R419" s="8"/>
      <c r="AA419" s="8"/>
      <c r="AJ419" s="8"/>
      <c r="AS419" s="8"/>
    </row>
    <row r="420" spans="9:45">
      <c r="I420" s="8"/>
      <c r="R420" s="8"/>
      <c r="AA420" s="8"/>
      <c r="AJ420" s="8"/>
      <c r="AS420" s="8"/>
    </row>
    <row r="421" spans="9:45">
      <c r="I421" s="8"/>
      <c r="R421" s="8"/>
      <c r="AA421" s="8"/>
      <c r="AJ421" s="8"/>
      <c r="AS421" s="8"/>
    </row>
    <row r="422" spans="9:45">
      <c r="I422" s="8"/>
      <c r="R422" s="8"/>
      <c r="AA422" s="8"/>
      <c r="AJ422" s="8"/>
      <c r="AS422" s="8"/>
    </row>
    <row r="423" spans="9:45">
      <c r="I423" s="8"/>
      <c r="R423" s="8"/>
      <c r="AA423" s="8"/>
      <c r="AJ423" s="8"/>
      <c r="AS423" s="8"/>
    </row>
    <row r="424" spans="9:45">
      <c r="I424" s="8"/>
      <c r="R424" s="8"/>
      <c r="AA424" s="8"/>
      <c r="AJ424" s="8"/>
      <c r="AS424" s="8"/>
    </row>
    <row r="425" spans="9:45">
      <c r="I425" s="8"/>
      <c r="R425" s="8"/>
      <c r="AA425" s="8"/>
      <c r="AJ425" s="8"/>
      <c r="AS425" s="8"/>
    </row>
    <row r="426" spans="9:45">
      <c r="I426" s="8"/>
      <c r="R426" s="8"/>
      <c r="AA426" s="8"/>
      <c r="AJ426" s="8"/>
      <c r="AS426" s="8"/>
    </row>
    <row r="427" spans="9:45">
      <c r="I427" s="8"/>
      <c r="R427" s="8"/>
      <c r="AA427" s="8"/>
      <c r="AJ427" s="8"/>
      <c r="AS427" s="8"/>
    </row>
    <row r="428" spans="9:45">
      <c r="I428" s="8"/>
      <c r="R428" s="8"/>
      <c r="AA428" s="8"/>
      <c r="AJ428" s="8"/>
      <c r="AS428" s="8"/>
    </row>
    <row r="429" spans="9:45">
      <c r="I429" s="8"/>
      <c r="R429" s="8"/>
      <c r="AA429" s="8"/>
      <c r="AJ429" s="8"/>
      <c r="AS429" s="8"/>
    </row>
    <row r="430" spans="9:45">
      <c r="I430" s="8"/>
      <c r="R430" s="8"/>
      <c r="AA430" s="8"/>
      <c r="AJ430" s="8"/>
      <c r="AS430" s="8"/>
    </row>
    <row r="431" spans="9:45">
      <c r="I431" s="8"/>
      <c r="R431" s="8"/>
      <c r="AA431" s="8"/>
      <c r="AJ431" s="8"/>
      <c r="AS431" s="8"/>
    </row>
    <row r="432" spans="9:45">
      <c r="I432" s="8"/>
      <c r="R432" s="8"/>
      <c r="AA432" s="8"/>
      <c r="AJ432" s="8"/>
      <c r="AS432" s="8"/>
    </row>
    <row r="433" spans="9:45">
      <c r="I433" s="8"/>
      <c r="R433" s="8"/>
      <c r="AA433" s="8"/>
      <c r="AJ433" s="8"/>
      <c r="AS433" s="8"/>
    </row>
    <row r="434" spans="9:45">
      <c r="I434" s="8"/>
      <c r="R434" s="8"/>
      <c r="AA434" s="8"/>
      <c r="AJ434" s="8"/>
      <c r="AS434" s="8"/>
    </row>
    <row r="435" spans="9:45">
      <c r="I435" s="8"/>
      <c r="R435" s="8"/>
      <c r="AA435" s="8"/>
      <c r="AJ435" s="8"/>
      <c r="AS435" s="8"/>
    </row>
    <row r="436" spans="9:45">
      <c r="I436" s="8"/>
      <c r="R436" s="8"/>
      <c r="AA436" s="8"/>
      <c r="AJ436" s="8"/>
      <c r="AS436" s="8"/>
    </row>
    <row r="437" spans="9:45">
      <c r="I437" s="8"/>
      <c r="R437" s="8"/>
      <c r="AA437" s="8"/>
      <c r="AJ437" s="8"/>
      <c r="AS437" s="8"/>
    </row>
    <row r="438" spans="9:45">
      <c r="I438" s="8"/>
      <c r="R438" s="8"/>
      <c r="AA438" s="8"/>
      <c r="AJ438" s="8"/>
      <c r="AS438" s="8"/>
    </row>
    <row r="439" spans="9:45">
      <c r="I439" s="8"/>
      <c r="R439" s="8"/>
      <c r="AA439" s="8"/>
      <c r="AJ439" s="8"/>
      <c r="AS439" s="8"/>
    </row>
    <row r="440" spans="9:45">
      <c r="I440" s="8"/>
      <c r="R440" s="8"/>
      <c r="AA440" s="8"/>
      <c r="AJ440" s="8"/>
      <c r="AS440" s="8"/>
    </row>
    <row r="441" spans="9:45">
      <c r="I441" s="8"/>
      <c r="R441" s="8"/>
      <c r="AA441" s="8"/>
      <c r="AJ441" s="8"/>
      <c r="AS441" s="8"/>
    </row>
    <row r="442" spans="9:45">
      <c r="I442" s="8"/>
      <c r="R442" s="8"/>
      <c r="AA442" s="8"/>
      <c r="AJ442" s="8"/>
      <c r="AS442" s="8"/>
    </row>
    <row r="443" spans="9:45">
      <c r="I443" s="8"/>
      <c r="R443" s="8"/>
      <c r="AA443" s="8"/>
      <c r="AJ443" s="8"/>
      <c r="AS443" s="8"/>
    </row>
    <row r="444" spans="9:45">
      <c r="I444" s="8"/>
      <c r="R444" s="8"/>
      <c r="AA444" s="8"/>
      <c r="AJ444" s="8"/>
      <c r="AS444" s="8"/>
    </row>
    <row r="445" spans="9:45">
      <c r="I445" s="8"/>
      <c r="R445" s="8"/>
      <c r="AA445" s="8"/>
      <c r="AJ445" s="8"/>
      <c r="AS445" s="8"/>
    </row>
    <row r="446" spans="9:45">
      <c r="I446" s="8"/>
      <c r="R446" s="8"/>
      <c r="AA446" s="8"/>
      <c r="AJ446" s="8"/>
      <c r="AS446" s="8"/>
    </row>
    <row r="447" spans="9:45">
      <c r="I447" s="8"/>
      <c r="R447" s="8"/>
      <c r="AA447" s="8"/>
      <c r="AJ447" s="8"/>
      <c r="AS447" s="8"/>
    </row>
    <row r="448" spans="9:45">
      <c r="I448" s="8"/>
      <c r="R448" s="8"/>
      <c r="AA448" s="8"/>
      <c r="AJ448" s="8"/>
      <c r="AS448" s="8"/>
    </row>
    <row r="449" spans="9:45">
      <c r="I449" s="8"/>
      <c r="R449" s="8"/>
      <c r="AA449" s="8"/>
      <c r="AJ449" s="8"/>
      <c r="AS449" s="8"/>
    </row>
    <row r="450" spans="9:45">
      <c r="I450" s="8"/>
      <c r="R450" s="8"/>
      <c r="AA450" s="8"/>
      <c r="AJ450" s="8"/>
      <c r="AS450" s="8"/>
    </row>
    <row r="451" spans="9:45">
      <c r="I451" s="8"/>
      <c r="R451" s="8"/>
      <c r="AA451" s="8"/>
      <c r="AJ451" s="8"/>
      <c r="AS451" s="8"/>
    </row>
    <row r="452" spans="9:45">
      <c r="I452" s="8"/>
      <c r="R452" s="8"/>
      <c r="AA452" s="8"/>
      <c r="AJ452" s="8"/>
      <c r="AS452" s="8"/>
    </row>
    <row r="453" spans="9:45">
      <c r="I453" s="8"/>
      <c r="R453" s="8"/>
      <c r="AA453" s="8"/>
      <c r="AJ453" s="8"/>
      <c r="AS453" s="8"/>
    </row>
    <row r="454" spans="9:45">
      <c r="I454" s="8"/>
      <c r="R454" s="8"/>
      <c r="AA454" s="8"/>
      <c r="AJ454" s="8"/>
      <c r="AS454" s="8"/>
    </row>
    <row r="455" spans="9:45">
      <c r="I455" s="8"/>
      <c r="R455" s="8"/>
      <c r="AA455" s="8"/>
      <c r="AJ455" s="8"/>
      <c r="AS455" s="8"/>
    </row>
    <row r="456" spans="9:45">
      <c r="I456" s="8"/>
      <c r="R456" s="8"/>
      <c r="AA456" s="8"/>
      <c r="AJ456" s="8"/>
      <c r="AS456" s="8"/>
    </row>
    <row r="457" spans="9:45">
      <c r="I457" s="8"/>
      <c r="R457" s="8"/>
      <c r="AA457" s="8"/>
      <c r="AJ457" s="8"/>
      <c r="AS457" s="8"/>
    </row>
    <row r="458" spans="9:45">
      <c r="I458" s="8"/>
      <c r="R458" s="8"/>
      <c r="AA458" s="8"/>
      <c r="AJ458" s="8"/>
      <c r="AS458" s="8"/>
    </row>
    <row r="459" spans="9:45">
      <c r="I459" s="8"/>
      <c r="R459" s="8"/>
      <c r="AA459" s="8"/>
      <c r="AJ459" s="8"/>
      <c r="AS459" s="8"/>
    </row>
    <row r="460" spans="9:45">
      <c r="I460" s="8"/>
      <c r="R460" s="8"/>
      <c r="AA460" s="8"/>
      <c r="AJ460" s="8"/>
      <c r="AS460" s="8"/>
    </row>
    <row r="461" spans="9:45">
      <c r="I461" s="8"/>
      <c r="R461" s="8"/>
      <c r="AA461" s="8"/>
      <c r="AJ461" s="8"/>
      <c r="AS461" s="8"/>
    </row>
    <row r="462" spans="9:45">
      <c r="I462" s="8"/>
      <c r="R462" s="8"/>
      <c r="AA462" s="8"/>
      <c r="AJ462" s="8"/>
      <c r="AS462" s="8"/>
    </row>
    <row r="463" spans="9:45">
      <c r="I463" s="8"/>
      <c r="R463" s="8"/>
      <c r="AA463" s="8"/>
      <c r="AJ463" s="8"/>
      <c r="AS463" s="8"/>
    </row>
    <row r="464" spans="9:45">
      <c r="I464" s="8"/>
      <c r="R464" s="8"/>
      <c r="AA464" s="8"/>
      <c r="AJ464" s="8"/>
      <c r="AS464" s="8"/>
    </row>
    <row r="465" spans="9:45">
      <c r="I465" s="8"/>
      <c r="R465" s="8"/>
      <c r="AA465" s="8"/>
      <c r="AJ465" s="8"/>
      <c r="AS465" s="8"/>
    </row>
    <row r="466" spans="9:45">
      <c r="I466" s="8"/>
      <c r="R466" s="8"/>
      <c r="AA466" s="8"/>
      <c r="AJ466" s="8"/>
      <c r="AS466" s="8"/>
    </row>
    <row r="467" spans="9:45">
      <c r="I467" s="8"/>
      <c r="R467" s="8"/>
      <c r="AA467" s="8"/>
      <c r="AJ467" s="8"/>
      <c r="AS467" s="8"/>
    </row>
    <row r="468" spans="9:45">
      <c r="I468" s="8"/>
      <c r="R468" s="8"/>
      <c r="AA468" s="8"/>
      <c r="AJ468" s="8"/>
      <c r="AS468" s="8"/>
    </row>
    <row r="469" spans="9:45">
      <c r="I469" s="8"/>
      <c r="R469" s="8"/>
      <c r="AA469" s="8"/>
      <c r="AJ469" s="8"/>
      <c r="AS469" s="8"/>
    </row>
    <row r="470" spans="9:45">
      <c r="I470" s="8"/>
      <c r="R470" s="8"/>
      <c r="AA470" s="8"/>
      <c r="AJ470" s="8"/>
      <c r="AS470" s="8"/>
    </row>
    <row r="471" spans="9:45">
      <c r="I471" s="8"/>
      <c r="R471" s="8"/>
      <c r="AA471" s="8"/>
      <c r="AJ471" s="8"/>
      <c r="AS471" s="8"/>
    </row>
    <row r="472" spans="9:45">
      <c r="I472" s="8"/>
      <c r="R472" s="8"/>
      <c r="AA472" s="8"/>
      <c r="AJ472" s="8"/>
      <c r="AS472" s="8"/>
    </row>
    <row r="473" spans="9:45">
      <c r="I473" s="8"/>
      <c r="R473" s="8"/>
      <c r="AA473" s="8"/>
      <c r="AJ473" s="8"/>
      <c r="AS473" s="8"/>
    </row>
    <row r="474" spans="9:45">
      <c r="I474" s="8"/>
      <c r="R474" s="8"/>
      <c r="AA474" s="8"/>
      <c r="AJ474" s="8"/>
      <c r="AS474" s="8"/>
    </row>
    <row r="475" spans="9:45">
      <c r="I475" s="8"/>
      <c r="R475" s="8"/>
      <c r="AA475" s="8"/>
      <c r="AJ475" s="8"/>
      <c r="AS475" s="8"/>
    </row>
    <row r="476" spans="9:45">
      <c r="I476" s="8"/>
      <c r="R476" s="8"/>
      <c r="AA476" s="8"/>
      <c r="AJ476" s="8"/>
      <c r="AS476" s="8"/>
    </row>
    <row r="477" spans="9:45">
      <c r="I477" s="8"/>
      <c r="R477" s="8"/>
      <c r="AA477" s="8"/>
      <c r="AJ477" s="8"/>
      <c r="AS477" s="8"/>
    </row>
    <row r="478" spans="9:45">
      <c r="I478" s="8"/>
      <c r="R478" s="8"/>
      <c r="AA478" s="8"/>
      <c r="AJ478" s="8"/>
      <c r="AS478" s="8"/>
    </row>
    <row r="479" spans="9:45">
      <c r="I479" s="8"/>
      <c r="R479" s="8"/>
      <c r="AA479" s="8"/>
      <c r="AJ479" s="8"/>
      <c r="AS479" s="8"/>
    </row>
    <row r="480" spans="9:45">
      <c r="I480" s="8"/>
      <c r="R480" s="8"/>
      <c r="AA480" s="8"/>
      <c r="AJ480" s="8"/>
      <c r="AS480" s="8"/>
    </row>
    <row r="481" spans="9:45">
      <c r="I481" s="8"/>
      <c r="R481" s="8"/>
      <c r="AA481" s="8"/>
      <c r="AJ481" s="8"/>
      <c r="AS481" s="8"/>
    </row>
    <row r="482" spans="9:45">
      <c r="I482" s="8"/>
      <c r="R482" s="8"/>
      <c r="AA482" s="8"/>
      <c r="AJ482" s="8"/>
      <c r="AS482" s="8"/>
    </row>
    <row r="483" spans="9:45">
      <c r="I483" s="8"/>
      <c r="R483" s="8"/>
      <c r="AA483" s="8"/>
      <c r="AJ483" s="8"/>
      <c r="AS483" s="8"/>
    </row>
    <row r="484" spans="9:45">
      <c r="I484" s="8"/>
      <c r="R484" s="8"/>
      <c r="AA484" s="8"/>
      <c r="AJ484" s="8"/>
      <c r="AS484" s="8"/>
    </row>
    <row r="485" spans="9:45">
      <c r="I485" s="8"/>
      <c r="R485" s="8"/>
      <c r="AA485" s="8"/>
      <c r="AJ485" s="8"/>
      <c r="AS485" s="8"/>
    </row>
    <row r="486" spans="9:45">
      <c r="I486" s="8"/>
      <c r="R486" s="8"/>
      <c r="AA486" s="8"/>
      <c r="AJ486" s="8"/>
      <c r="AS486" s="8"/>
    </row>
    <row r="487" spans="9:45">
      <c r="I487" s="8"/>
      <c r="R487" s="8"/>
      <c r="AA487" s="8"/>
      <c r="AJ487" s="8"/>
      <c r="AS487" s="8"/>
    </row>
    <row r="488" spans="9:45">
      <c r="I488" s="8"/>
      <c r="R488" s="8"/>
      <c r="AA488" s="8"/>
      <c r="AJ488" s="8"/>
      <c r="AS488" s="8"/>
    </row>
    <row r="489" spans="9:45">
      <c r="I489" s="8"/>
      <c r="R489" s="8"/>
      <c r="AA489" s="8"/>
      <c r="AJ489" s="8"/>
      <c r="AS489" s="8"/>
    </row>
    <row r="490" spans="9:45">
      <c r="I490" s="8"/>
      <c r="R490" s="8"/>
      <c r="AA490" s="8"/>
      <c r="AJ490" s="8"/>
      <c r="AS490" s="8"/>
    </row>
    <row r="491" spans="9:45">
      <c r="I491" s="8"/>
      <c r="R491" s="8"/>
      <c r="AA491" s="8"/>
      <c r="AJ491" s="8"/>
      <c r="AS491" s="8"/>
    </row>
    <row r="492" spans="9:45">
      <c r="I492" s="8"/>
      <c r="R492" s="8"/>
      <c r="AA492" s="8"/>
      <c r="AJ492" s="8"/>
      <c r="AS492" s="8"/>
    </row>
    <row r="493" spans="9:45">
      <c r="I493" s="8"/>
      <c r="R493" s="8"/>
      <c r="AA493" s="8"/>
      <c r="AJ493" s="8"/>
      <c r="AS493" s="8"/>
    </row>
    <row r="494" spans="9:45">
      <c r="I494" s="8"/>
      <c r="R494" s="8"/>
      <c r="AA494" s="8"/>
      <c r="AJ494" s="8"/>
      <c r="AS494" s="8"/>
    </row>
    <row r="495" spans="9:45">
      <c r="I495" s="8"/>
      <c r="R495" s="8"/>
      <c r="AA495" s="8"/>
      <c r="AJ495" s="8"/>
      <c r="AS495" s="8"/>
    </row>
    <row r="496" spans="9:45">
      <c r="I496" s="8"/>
      <c r="R496" s="8"/>
      <c r="AA496" s="8"/>
      <c r="AJ496" s="8"/>
      <c r="AS496" s="8"/>
    </row>
    <row r="497" spans="9:45">
      <c r="I497" s="8"/>
      <c r="R497" s="8"/>
      <c r="AA497" s="8"/>
      <c r="AJ497" s="8"/>
      <c r="AS497" s="8"/>
    </row>
    <row r="498" spans="9:45">
      <c r="I498" s="8"/>
      <c r="R498" s="8"/>
      <c r="AA498" s="8"/>
      <c r="AJ498" s="8"/>
      <c r="AS498" s="8"/>
    </row>
    <row r="499" spans="9:45">
      <c r="I499" s="8"/>
      <c r="R499" s="8"/>
      <c r="AA499" s="8"/>
      <c r="AJ499" s="8"/>
      <c r="AS499" s="8"/>
    </row>
    <row r="500" spans="9:45">
      <c r="I500" s="8"/>
      <c r="R500" s="8"/>
      <c r="AA500" s="8"/>
      <c r="AJ500" s="8"/>
      <c r="AS500" s="8"/>
    </row>
    <row r="501" spans="9:45">
      <c r="I501" s="8"/>
      <c r="R501" s="8"/>
      <c r="AA501" s="8"/>
      <c r="AJ501" s="8"/>
      <c r="AS501" s="8"/>
    </row>
  </sheetData>
  <sheetProtection selectLockedCells="1" selectUnlockedCells="1"/>
  <mergeCells count="53">
    <mergeCell ref="AL17:AL29"/>
    <mergeCell ref="AM17:AM29"/>
    <mergeCell ref="B73:B75"/>
    <mergeCell ref="B3:B15"/>
    <mergeCell ref="B17:B29"/>
    <mergeCell ref="B31:B43"/>
    <mergeCell ref="B45:B57"/>
    <mergeCell ref="B59:B71"/>
    <mergeCell ref="K73:K75"/>
    <mergeCell ref="T73:T75"/>
    <mergeCell ref="AC73:AC75"/>
    <mergeCell ref="K3:K15"/>
    <mergeCell ref="K17:K29"/>
    <mergeCell ref="K31:K43"/>
    <mergeCell ref="K45:K57"/>
    <mergeCell ref="K59:K71"/>
    <mergeCell ref="T59:T71"/>
    <mergeCell ref="T45:T57"/>
    <mergeCell ref="AC45:AC57"/>
    <mergeCell ref="AC59:AC71"/>
    <mergeCell ref="L3:L15"/>
    <mergeCell ref="L17:L29"/>
    <mergeCell ref="L31:L43"/>
    <mergeCell ref="L45:L57"/>
    <mergeCell ref="U45:U57"/>
    <mergeCell ref="U31:U43"/>
    <mergeCell ref="U17:U29"/>
    <mergeCell ref="U3:U15"/>
    <mergeCell ref="AD3:AD15"/>
    <mergeCell ref="AD17:AD29"/>
    <mergeCell ref="AD31:AD43"/>
    <mergeCell ref="AD45:AD57"/>
    <mergeCell ref="T17:T29"/>
    <mergeCell ref="T3:T15"/>
    <mergeCell ref="AC3:AC15"/>
    <mergeCell ref="AC17:AC29"/>
    <mergeCell ref="AC31:AC43"/>
    <mergeCell ref="AM3:AM15"/>
    <mergeCell ref="C59:C71"/>
    <mergeCell ref="C73:C75"/>
    <mergeCell ref="L73:L75"/>
    <mergeCell ref="U73:U75"/>
    <mergeCell ref="AD73:AD75"/>
    <mergeCell ref="L59:L71"/>
    <mergeCell ref="U59:U71"/>
    <mergeCell ref="AD59:AD71"/>
    <mergeCell ref="C3:C15"/>
    <mergeCell ref="C17:C29"/>
    <mergeCell ref="C31:C43"/>
    <mergeCell ref="C45:C57"/>
    <mergeCell ref="AL3:AL15"/>
    <mergeCell ref="AL74:AS74"/>
    <mergeCell ref="T31:T43"/>
  </mergeCells>
  <conditionalFormatting sqref="Q2:Q501">
    <cfRule type="containsText" dxfId="294" priority="349" operator="containsText" text="Atendimento">
      <formula>NOT(ISERROR(SEARCH("Atendimento",Q2)))</formula>
    </cfRule>
  </conditionalFormatting>
  <conditionalFormatting sqref="Q3:Q15">
    <cfRule type="containsText" dxfId="293" priority="344" operator="containsText" text="Agenda Bloqueada">
      <formula>NOT(ISERROR(SEARCH("Agenda Bloqueada",Q3)))</formula>
    </cfRule>
    <cfRule type="containsText" dxfId="292" priority="345" operator="containsText" text="Supervisão">
      <formula>NOT(ISERROR(SEARCH("Supervisão",Q3)))</formula>
    </cfRule>
    <cfRule type="containsText" dxfId="291" priority="346" operator="containsText" text="Estudo">
      <formula>NOT(ISERROR(SEARCH("Estudo",Q3)))</formula>
    </cfRule>
    <cfRule type="containsText" dxfId="290" priority="347" operator="containsText" text="Observação">
      <formula>NOT(ISERROR(SEARCH("Observação",Q3)))</formula>
    </cfRule>
    <cfRule type="containsText" dxfId="289" priority="348" operator="containsText" text="Aplicação">
      <formula>NOT(ISERROR(SEARCH("Aplicação",Q3)))</formula>
    </cfRule>
  </conditionalFormatting>
  <conditionalFormatting sqref="Q17:Q29">
    <cfRule type="containsText" dxfId="288" priority="301" operator="containsText" text="Agenda Bloqueada">
      <formula>NOT(ISERROR(SEARCH("Agenda Bloqueada",Q17)))</formula>
    </cfRule>
    <cfRule type="containsText" dxfId="287" priority="302" operator="containsText" text="Supervisão">
      <formula>NOT(ISERROR(SEARCH("Supervisão",Q17)))</formula>
    </cfRule>
    <cfRule type="containsText" dxfId="286" priority="303" operator="containsText" text="Estudo">
      <formula>NOT(ISERROR(SEARCH("Estudo",Q17)))</formula>
    </cfRule>
    <cfRule type="containsText" dxfId="285" priority="304" operator="containsText" text="Observação">
      <formula>NOT(ISERROR(SEARCH("Observação",Q17)))</formula>
    </cfRule>
    <cfRule type="containsText" dxfId="284" priority="305" operator="containsText" text="Aplicação">
      <formula>NOT(ISERROR(SEARCH("Aplicação",Q17)))</formula>
    </cfRule>
  </conditionalFormatting>
  <conditionalFormatting sqref="Q31:Q43">
    <cfRule type="containsText" dxfId="283" priority="296" operator="containsText" text="Agenda Bloqueada">
      <formula>NOT(ISERROR(SEARCH("Agenda Bloqueada",Q31)))</formula>
    </cfRule>
    <cfRule type="containsText" dxfId="282" priority="297" operator="containsText" text="Supervisão">
      <formula>NOT(ISERROR(SEARCH("Supervisão",Q31)))</formula>
    </cfRule>
    <cfRule type="containsText" dxfId="281" priority="298" operator="containsText" text="Estudo">
      <formula>NOT(ISERROR(SEARCH("Estudo",Q31)))</formula>
    </cfRule>
    <cfRule type="containsText" dxfId="280" priority="299" operator="containsText" text="Observação">
      <formula>NOT(ISERROR(SEARCH("Observação",Q31)))</formula>
    </cfRule>
    <cfRule type="containsText" dxfId="279" priority="300" operator="containsText" text="Aplicação">
      <formula>NOT(ISERROR(SEARCH("Aplicação",Q31)))</formula>
    </cfRule>
  </conditionalFormatting>
  <conditionalFormatting sqref="Q45:Q57">
    <cfRule type="containsText" dxfId="278" priority="291" operator="containsText" text="Agenda Bloqueada">
      <formula>NOT(ISERROR(SEARCH("Agenda Bloqueada",Q45)))</formula>
    </cfRule>
    <cfRule type="containsText" dxfId="277" priority="292" operator="containsText" text="Supervisão">
      <formula>NOT(ISERROR(SEARCH("Supervisão",Q45)))</formula>
    </cfRule>
    <cfRule type="containsText" dxfId="276" priority="293" operator="containsText" text="Estudo">
      <formula>NOT(ISERROR(SEARCH("Estudo",Q45)))</formula>
    </cfRule>
    <cfRule type="containsText" dxfId="275" priority="294" operator="containsText" text="Observação">
      <formula>NOT(ISERROR(SEARCH("Observação",Q45)))</formula>
    </cfRule>
    <cfRule type="containsText" dxfId="274" priority="295" operator="containsText" text="Aplicação">
      <formula>NOT(ISERROR(SEARCH("Aplicação",Q45)))</formula>
    </cfRule>
  </conditionalFormatting>
  <conditionalFormatting sqref="Q59:Q71">
    <cfRule type="containsText" dxfId="273" priority="286" operator="containsText" text="Agenda Bloqueada">
      <formula>NOT(ISERROR(SEARCH("Agenda Bloqueada",Q59)))</formula>
    </cfRule>
    <cfRule type="containsText" dxfId="272" priority="287" operator="containsText" text="Supervisão">
      <formula>NOT(ISERROR(SEARCH("Supervisão",Q59)))</formula>
    </cfRule>
    <cfRule type="containsText" dxfId="271" priority="288" operator="containsText" text="Estudo">
      <formula>NOT(ISERROR(SEARCH("Estudo",Q59)))</formula>
    </cfRule>
    <cfRule type="containsText" dxfId="270" priority="289" operator="containsText" text="Observação">
      <formula>NOT(ISERROR(SEARCH("Observação",Q59)))</formula>
    </cfRule>
    <cfRule type="containsText" dxfId="269" priority="290" operator="containsText" text="Aplicação">
      <formula>NOT(ISERROR(SEARCH("Aplicação",Q59)))</formula>
    </cfRule>
  </conditionalFormatting>
  <conditionalFormatting sqref="Q73:Q75">
    <cfRule type="containsText" dxfId="268" priority="281" operator="containsText" text="Agenda Bloqueada">
      <formula>NOT(ISERROR(SEARCH("Agenda Bloqueada",Q73)))</formula>
    </cfRule>
    <cfRule type="containsText" dxfId="267" priority="282" operator="containsText" text="Supervisão">
      <formula>NOT(ISERROR(SEARCH("Supervisão",Q73)))</formula>
    </cfRule>
    <cfRule type="containsText" dxfId="266" priority="283" operator="containsText" text="Estudo">
      <formula>NOT(ISERROR(SEARCH("Estudo",Q73)))</formula>
    </cfRule>
    <cfRule type="containsText" dxfId="265" priority="284" operator="containsText" text="Observação">
      <formula>NOT(ISERROR(SEARCH("Observação",Q73)))</formula>
    </cfRule>
    <cfRule type="containsText" dxfId="264" priority="285" operator="containsText" text="Aplicação">
      <formula>NOT(ISERROR(SEARCH("Aplicação",Q73)))</formula>
    </cfRule>
  </conditionalFormatting>
  <conditionalFormatting sqref="Z2:Z15">
    <cfRule type="containsText" dxfId="263" priority="250" operator="containsText" text="Atendimento">
      <formula>NOT(ISERROR(SEARCH("Atendimento",Z2)))</formula>
    </cfRule>
  </conditionalFormatting>
  <conditionalFormatting sqref="Z3:Z15">
    <cfRule type="containsText" dxfId="262" priority="245" operator="containsText" text="Agenda Bloqueada">
      <formula>NOT(ISERROR(SEARCH("Agenda Bloqueada",Z3)))</formula>
    </cfRule>
    <cfRule type="containsText" dxfId="261" priority="246" operator="containsText" text="Supervisão">
      <formula>NOT(ISERROR(SEARCH("Supervisão",Z3)))</formula>
    </cfRule>
    <cfRule type="containsText" dxfId="260" priority="247" operator="containsText" text="Estudo">
      <formula>NOT(ISERROR(SEARCH("Estudo",Z3)))</formula>
    </cfRule>
    <cfRule type="containsText" dxfId="259" priority="248" operator="containsText" text="Observação">
      <formula>NOT(ISERROR(SEARCH("Observação",Z3)))</formula>
    </cfRule>
    <cfRule type="containsText" dxfId="258" priority="249" operator="containsText" text="Aplicação">
      <formula>NOT(ISERROR(SEARCH("Aplicação",Z3)))</formula>
    </cfRule>
  </conditionalFormatting>
  <conditionalFormatting sqref="Z16:Z29">
    <cfRule type="containsText" dxfId="257" priority="256" operator="containsText" text="Atendimento">
      <formula>NOT(ISERROR(SEARCH("Atendimento",Z16)))</formula>
    </cfRule>
  </conditionalFormatting>
  <conditionalFormatting sqref="Z17:Z29">
    <cfRule type="containsText" dxfId="256" priority="251" operator="containsText" text="Agenda Bloqueada">
      <formula>NOT(ISERROR(SEARCH("Agenda Bloqueada",Z17)))</formula>
    </cfRule>
    <cfRule type="containsText" dxfId="255" priority="252" operator="containsText" text="Supervisão">
      <formula>NOT(ISERROR(SEARCH("Supervisão",Z17)))</formula>
    </cfRule>
    <cfRule type="containsText" dxfId="254" priority="253" operator="containsText" text="Estudo">
      <formula>NOT(ISERROR(SEARCH("Estudo",Z17)))</formula>
    </cfRule>
    <cfRule type="containsText" dxfId="253" priority="254" operator="containsText" text="Observação">
      <formula>NOT(ISERROR(SEARCH("Observação",Z17)))</formula>
    </cfRule>
    <cfRule type="containsText" dxfId="252" priority="255" operator="containsText" text="Aplicação">
      <formula>NOT(ISERROR(SEARCH("Aplicação",Z17)))</formula>
    </cfRule>
  </conditionalFormatting>
  <conditionalFormatting sqref="Z30:Z43">
    <cfRule type="containsText" dxfId="251" priority="262" operator="containsText" text="Atendimento">
      <formula>NOT(ISERROR(SEARCH("Atendimento",Z30)))</formula>
    </cfRule>
  </conditionalFormatting>
  <conditionalFormatting sqref="Z31:Z43">
    <cfRule type="containsText" dxfId="250" priority="257" operator="containsText" text="Agenda Bloqueada">
      <formula>NOT(ISERROR(SEARCH("Agenda Bloqueada",Z31)))</formula>
    </cfRule>
    <cfRule type="containsText" dxfId="249" priority="258" operator="containsText" text="Supervisão">
      <formula>NOT(ISERROR(SEARCH("Supervisão",Z31)))</formula>
    </cfRule>
    <cfRule type="containsText" dxfId="248" priority="259" operator="containsText" text="Estudo">
      <formula>NOT(ISERROR(SEARCH("Estudo",Z31)))</formula>
    </cfRule>
    <cfRule type="containsText" dxfId="247" priority="260" operator="containsText" text="Observação">
      <formula>NOT(ISERROR(SEARCH("Observação",Z31)))</formula>
    </cfRule>
    <cfRule type="containsText" dxfId="246" priority="261" operator="containsText" text="Aplicação">
      <formula>NOT(ISERROR(SEARCH("Aplicação",Z31)))</formula>
    </cfRule>
  </conditionalFormatting>
  <conditionalFormatting sqref="Z44:Z57">
    <cfRule type="containsText" dxfId="245" priority="268" operator="containsText" text="Atendimento">
      <formula>NOT(ISERROR(SEARCH("Atendimento",Z44)))</formula>
    </cfRule>
  </conditionalFormatting>
  <conditionalFormatting sqref="Z45:Z57">
    <cfRule type="containsText" dxfId="244" priority="263" operator="containsText" text="Agenda Bloqueada">
      <formula>NOT(ISERROR(SEARCH("Agenda Bloqueada",Z45)))</formula>
    </cfRule>
    <cfRule type="containsText" dxfId="243" priority="264" operator="containsText" text="Supervisão">
      <formula>NOT(ISERROR(SEARCH("Supervisão",Z45)))</formula>
    </cfRule>
    <cfRule type="containsText" dxfId="242" priority="265" operator="containsText" text="Estudo">
      <formula>NOT(ISERROR(SEARCH("Estudo",Z45)))</formula>
    </cfRule>
    <cfRule type="containsText" dxfId="241" priority="266" operator="containsText" text="Observação">
      <formula>NOT(ISERROR(SEARCH("Observação",Z45)))</formula>
    </cfRule>
    <cfRule type="containsText" dxfId="240" priority="267" operator="containsText" text="Aplicação">
      <formula>NOT(ISERROR(SEARCH("Aplicação",Z45)))</formula>
    </cfRule>
  </conditionalFormatting>
  <conditionalFormatting sqref="Z58:Z71">
    <cfRule type="containsText" dxfId="239" priority="274" operator="containsText" text="Atendimento">
      <formula>NOT(ISERROR(SEARCH("Atendimento",Z58)))</formula>
    </cfRule>
  </conditionalFormatting>
  <conditionalFormatting sqref="Z59:Z71">
    <cfRule type="containsText" dxfId="238" priority="269" operator="containsText" text="Agenda Bloqueada">
      <formula>NOT(ISERROR(SEARCH("Agenda Bloqueada",Z59)))</formula>
    </cfRule>
    <cfRule type="containsText" dxfId="237" priority="270" operator="containsText" text="Supervisão">
      <formula>NOT(ISERROR(SEARCH("Supervisão",Z59)))</formula>
    </cfRule>
    <cfRule type="containsText" dxfId="236" priority="271" operator="containsText" text="Estudo">
      <formula>NOT(ISERROR(SEARCH("Estudo",Z59)))</formula>
    </cfRule>
    <cfRule type="containsText" dxfId="235" priority="272" operator="containsText" text="Observação">
      <formula>NOT(ISERROR(SEARCH("Observação",Z59)))</formula>
    </cfRule>
    <cfRule type="containsText" dxfId="234" priority="273" operator="containsText" text="Aplicação">
      <formula>NOT(ISERROR(SEARCH("Aplicação",Z59)))</formula>
    </cfRule>
  </conditionalFormatting>
  <conditionalFormatting sqref="Z72:Z501">
    <cfRule type="containsText" dxfId="233" priority="280" operator="containsText" text="Atendimento">
      <formula>NOT(ISERROR(SEARCH("Atendimento",Z72)))</formula>
    </cfRule>
  </conditionalFormatting>
  <conditionalFormatting sqref="Z73:Z75">
    <cfRule type="containsText" dxfId="232" priority="275" operator="containsText" text="Agenda Bloqueada">
      <formula>NOT(ISERROR(SEARCH("Agenda Bloqueada",Z73)))</formula>
    </cfRule>
    <cfRule type="containsText" dxfId="231" priority="276" operator="containsText" text="Supervisão">
      <formula>NOT(ISERROR(SEARCH("Supervisão",Z73)))</formula>
    </cfRule>
    <cfRule type="containsText" dxfId="230" priority="277" operator="containsText" text="Estudo">
      <formula>NOT(ISERROR(SEARCH("Estudo",Z73)))</formula>
    </cfRule>
    <cfRule type="containsText" dxfId="229" priority="278" operator="containsText" text="Observação">
      <formula>NOT(ISERROR(SEARCH("Observação",Z73)))</formula>
    </cfRule>
    <cfRule type="containsText" dxfId="228" priority="279" operator="containsText" text="Aplicação">
      <formula>NOT(ISERROR(SEARCH("Aplicação",Z73)))</formula>
    </cfRule>
  </conditionalFormatting>
  <conditionalFormatting sqref="AI2:AI501">
    <cfRule type="containsText" dxfId="227" priority="337" operator="containsText" text="Atendimento">
      <formula>NOT(ISERROR(SEARCH("Atendimento",AI2)))</formula>
    </cfRule>
  </conditionalFormatting>
  <conditionalFormatting sqref="AI3:AI15">
    <cfRule type="containsText" dxfId="226" priority="332" operator="containsText" text="Agenda Bloqueada">
      <formula>NOT(ISERROR(SEARCH("Agenda Bloqueada",AI3)))</formula>
    </cfRule>
    <cfRule type="containsText" dxfId="225" priority="333" operator="containsText" text="Supervisão">
      <formula>NOT(ISERROR(SEARCH("Supervisão",AI3)))</formula>
    </cfRule>
    <cfRule type="containsText" dxfId="224" priority="334" operator="containsText" text="Estudo">
      <formula>NOT(ISERROR(SEARCH("Estudo",AI3)))</formula>
    </cfRule>
    <cfRule type="containsText" dxfId="223" priority="335" operator="containsText" text="Observação">
      <formula>NOT(ISERROR(SEARCH("Observação",AI3)))</formula>
    </cfRule>
    <cfRule type="containsText" dxfId="222" priority="336" operator="containsText" text="Aplicação">
      <formula>NOT(ISERROR(SEARCH("Aplicação",AI3)))</formula>
    </cfRule>
  </conditionalFormatting>
  <conditionalFormatting sqref="AI17:AI29">
    <cfRule type="containsText" dxfId="221" priority="240" operator="containsText" text="Agenda Bloqueada">
      <formula>NOT(ISERROR(SEARCH("Agenda Bloqueada",AI17)))</formula>
    </cfRule>
    <cfRule type="containsText" dxfId="220" priority="241" operator="containsText" text="Supervisão">
      <formula>NOT(ISERROR(SEARCH("Supervisão",AI17)))</formula>
    </cfRule>
    <cfRule type="containsText" dxfId="219" priority="242" operator="containsText" text="Estudo">
      <formula>NOT(ISERROR(SEARCH("Estudo",AI17)))</formula>
    </cfRule>
    <cfRule type="containsText" dxfId="218" priority="243" operator="containsText" text="Observação">
      <formula>NOT(ISERROR(SEARCH("Observação",AI17)))</formula>
    </cfRule>
    <cfRule type="containsText" dxfId="217" priority="244" operator="containsText" text="Aplicação">
      <formula>NOT(ISERROR(SEARCH("Aplicação",AI17)))</formula>
    </cfRule>
  </conditionalFormatting>
  <conditionalFormatting sqref="AI31:AI43">
    <cfRule type="containsText" dxfId="216" priority="235" operator="containsText" text="Agenda Bloqueada">
      <formula>NOT(ISERROR(SEARCH("Agenda Bloqueada",AI31)))</formula>
    </cfRule>
    <cfRule type="containsText" dxfId="215" priority="236" operator="containsText" text="Supervisão">
      <formula>NOT(ISERROR(SEARCH("Supervisão",AI31)))</formula>
    </cfRule>
    <cfRule type="containsText" dxfId="214" priority="237" operator="containsText" text="Estudo">
      <formula>NOT(ISERROR(SEARCH("Estudo",AI31)))</formula>
    </cfRule>
    <cfRule type="containsText" dxfId="213" priority="238" operator="containsText" text="Observação">
      <formula>NOT(ISERROR(SEARCH("Observação",AI31)))</formula>
    </cfRule>
    <cfRule type="containsText" dxfId="212" priority="239" operator="containsText" text="Aplicação">
      <formula>NOT(ISERROR(SEARCH("Aplicação",AI31)))</formula>
    </cfRule>
  </conditionalFormatting>
  <conditionalFormatting sqref="AI45:AI57">
    <cfRule type="containsText" dxfId="211" priority="230" operator="containsText" text="Agenda Bloqueada">
      <formula>NOT(ISERROR(SEARCH("Agenda Bloqueada",AI45)))</formula>
    </cfRule>
    <cfRule type="containsText" dxfId="210" priority="231" operator="containsText" text="Supervisão">
      <formula>NOT(ISERROR(SEARCH("Supervisão",AI45)))</formula>
    </cfRule>
    <cfRule type="containsText" dxfId="209" priority="232" operator="containsText" text="Estudo">
      <formula>NOT(ISERROR(SEARCH("Estudo",AI45)))</formula>
    </cfRule>
    <cfRule type="containsText" dxfId="208" priority="233" operator="containsText" text="Observação">
      <formula>NOT(ISERROR(SEARCH("Observação",AI45)))</formula>
    </cfRule>
    <cfRule type="containsText" dxfId="207" priority="234" operator="containsText" text="Aplicação">
      <formula>NOT(ISERROR(SEARCH("Aplicação",AI45)))</formula>
    </cfRule>
  </conditionalFormatting>
  <conditionalFormatting sqref="AI59:AI71">
    <cfRule type="containsText" dxfId="206" priority="225" operator="containsText" text="Agenda Bloqueada">
      <formula>NOT(ISERROR(SEARCH("Agenda Bloqueada",AI59)))</formula>
    </cfRule>
    <cfRule type="containsText" dxfId="205" priority="226" operator="containsText" text="Supervisão">
      <formula>NOT(ISERROR(SEARCH("Supervisão",AI59)))</formula>
    </cfRule>
    <cfRule type="containsText" dxfId="204" priority="227" operator="containsText" text="Estudo">
      <formula>NOT(ISERROR(SEARCH("Estudo",AI59)))</formula>
    </cfRule>
    <cfRule type="containsText" dxfId="203" priority="228" operator="containsText" text="Observação">
      <formula>NOT(ISERROR(SEARCH("Observação",AI59)))</formula>
    </cfRule>
    <cfRule type="containsText" dxfId="202" priority="229" operator="containsText" text="Aplicação">
      <formula>NOT(ISERROR(SEARCH("Aplicação",AI59)))</formula>
    </cfRule>
  </conditionalFormatting>
  <conditionalFormatting sqref="AI73:AI75">
    <cfRule type="containsText" dxfId="201" priority="220" operator="containsText" text="Agenda Bloqueada">
      <formula>NOT(ISERROR(SEARCH("Agenda Bloqueada",AI73)))</formula>
    </cfRule>
    <cfRule type="containsText" dxfId="200" priority="221" operator="containsText" text="Supervisão">
      <formula>NOT(ISERROR(SEARCH("Supervisão",AI73)))</formula>
    </cfRule>
    <cfRule type="containsText" dxfId="199" priority="222" operator="containsText" text="Estudo">
      <formula>NOT(ISERROR(SEARCH("Estudo",AI73)))</formula>
    </cfRule>
    <cfRule type="containsText" dxfId="198" priority="223" operator="containsText" text="Observação">
      <formula>NOT(ISERROR(SEARCH("Observação",AI73)))</formula>
    </cfRule>
    <cfRule type="containsText" dxfId="197" priority="224" operator="containsText" text="Aplicação">
      <formula>NOT(ISERROR(SEARCH("Aplicação",AI73)))</formula>
    </cfRule>
  </conditionalFormatting>
  <conditionalFormatting sqref="AR76:AR501 AR58:AR72 AR44 AR2:AR30">
    <cfRule type="containsText" dxfId="196" priority="331" operator="containsText" text="Atendimento">
      <formula>NOT(ISERROR(SEARCH("Atendimento",AR2)))</formula>
    </cfRule>
  </conditionalFormatting>
  <conditionalFormatting sqref="AR3:AR15">
    <cfRule type="containsText" dxfId="195" priority="326" operator="containsText" text="Agenda Bloqueada">
      <formula>NOT(ISERROR(SEARCH("Agenda Bloqueada",AR3)))</formula>
    </cfRule>
    <cfRule type="containsText" dxfId="194" priority="327" operator="containsText" text="Supervisão">
      <formula>NOT(ISERROR(SEARCH("Supervisão",AR3)))</formula>
    </cfRule>
    <cfRule type="containsText" dxfId="193" priority="328" operator="containsText" text="Estudo">
      <formula>NOT(ISERROR(SEARCH("Estudo",AR3)))</formula>
    </cfRule>
    <cfRule type="containsText" dxfId="192" priority="329" operator="containsText" text="Observação">
      <formula>NOT(ISERROR(SEARCH("Observação",AR3)))</formula>
    </cfRule>
    <cfRule type="containsText" dxfId="191" priority="330" operator="containsText" text="Aplicação">
      <formula>NOT(ISERROR(SEARCH("Aplicação",AR3)))</formula>
    </cfRule>
  </conditionalFormatting>
  <conditionalFormatting sqref="H17:H29">
    <cfRule type="containsText" dxfId="190" priority="217" operator="containsText" text="Atendimento">
      <formula>NOT(ISERROR(SEARCH("Atendimento",H17)))</formula>
    </cfRule>
  </conditionalFormatting>
  <conditionalFormatting sqref="H17:H29">
    <cfRule type="containsText" dxfId="189" priority="213" operator="containsText" text="Supervisão">
      <formula>NOT(ISERROR(SEARCH("Supervisão",H17)))</formula>
    </cfRule>
    <cfRule type="containsText" dxfId="188" priority="214" operator="containsText" text="Estudo">
      <formula>NOT(ISERROR(SEARCH("Estudo",H17)))</formula>
    </cfRule>
    <cfRule type="containsText" dxfId="187" priority="215" operator="containsText" text="Observação">
      <formula>NOT(ISERROR(SEARCH("Observação",H17)))</formula>
    </cfRule>
    <cfRule type="containsText" dxfId="186" priority="216" operator="containsText" text="Aplicação">
      <formula>NOT(ISERROR(SEARCH("Aplicação",H17)))</formula>
    </cfRule>
  </conditionalFormatting>
  <conditionalFormatting sqref="H17:H29">
    <cfRule type="containsText" dxfId="185" priority="212" operator="containsText" text="Agenda Bloqueada">
      <formula>NOT(ISERROR(SEARCH("Agenda Bloqueada",H17)))</formula>
    </cfRule>
  </conditionalFormatting>
  <conditionalFormatting sqref="H31:H43">
    <cfRule type="containsText" dxfId="184" priority="211" operator="containsText" text="Atendimento">
      <formula>NOT(ISERROR(SEARCH("Atendimento",H31)))</formula>
    </cfRule>
  </conditionalFormatting>
  <conditionalFormatting sqref="H31:H43">
    <cfRule type="containsText" dxfId="183" priority="207" operator="containsText" text="Supervisão">
      <formula>NOT(ISERROR(SEARCH("Supervisão",H31)))</formula>
    </cfRule>
    <cfRule type="containsText" dxfId="182" priority="208" operator="containsText" text="Estudo">
      <formula>NOT(ISERROR(SEARCH("Estudo",H31)))</formula>
    </cfRule>
    <cfRule type="containsText" dxfId="181" priority="209" operator="containsText" text="Observação">
      <formula>NOT(ISERROR(SEARCH("Observação",H31)))</formula>
    </cfRule>
    <cfRule type="containsText" dxfId="180" priority="210" operator="containsText" text="Aplicação">
      <formula>NOT(ISERROR(SEARCH("Aplicação",H31)))</formula>
    </cfRule>
  </conditionalFormatting>
  <conditionalFormatting sqref="H31:H43">
    <cfRule type="containsText" dxfId="179" priority="206" operator="containsText" text="Agenda Bloqueada">
      <formula>NOT(ISERROR(SEARCH("Agenda Bloqueada",H31)))</formula>
    </cfRule>
  </conditionalFormatting>
  <conditionalFormatting sqref="H45:H57">
    <cfRule type="containsText" dxfId="178" priority="205" operator="containsText" text="Atendimento">
      <formula>NOT(ISERROR(SEARCH("Atendimento",H45)))</formula>
    </cfRule>
  </conditionalFormatting>
  <conditionalFormatting sqref="H45:H57">
    <cfRule type="containsText" dxfId="177" priority="201" operator="containsText" text="Supervisão">
      <formula>NOT(ISERROR(SEARCH("Supervisão",H45)))</formula>
    </cfRule>
    <cfRule type="containsText" dxfId="176" priority="202" operator="containsText" text="Estudo">
      <formula>NOT(ISERROR(SEARCH("Estudo",H45)))</formula>
    </cfRule>
    <cfRule type="containsText" dxfId="175" priority="203" operator="containsText" text="Observação">
      <formula>NOT(ISERROR(SEARCH("Observação",H45)))</formula>
    </cfRule>
    <cfRule type="containsText" dxfId="174" priority="204" operator="containsText" text="Aplicação">
      <formula>NOT(ISERROR(SEARCH("Aplicação",H45)))</formula>
    </cfRule>
  </conditionalFormatting>
  <conditionalFormatting sqref="H45:H57">
    <cfRule type="containsText" dxfId="173" priority="200" operator="containsText" text="Agenda Bloqueada">
      <formula>NOT(ISERROR(SEARCH("Agenda Bloqueada",H45)))</formula>
    </cfRule>
  </conditionalFormatting>
  <conditionalFormatting sqref="H59:H71">
    <cfRule type="containsText" dxfId="172" priority="199" operator="containsText" text="Atendimento">
      <formula>NOT(ISERROR(SEARCH("Atendimento",H59)))</formula>
    </cfRule>
  </conditionalFormatting>
  <conditionalFormatting sqref="H59:H71">
    <cfRule type="containsText" dxfId="171" priority="195" operator="containsText" text="Supervisão">
      <formula>NOT(ISERROR(SEARCH("Supervisão",H59)))</formula>
    </cfRule>
    <cfRule type="containsText" dxfId="170" priority="196" operator="containsText" text="Estudo">
      <formula>NOT(ISERROR(SEARCH("Estudo",H59)))</formula>
    </cfRule>
    <cfRule type="containsText" dxfId="169" priority="197" operator="containsText" text="Observação">
      <formula>NOT(ISERROR(SEARCH("Observação",H59)))</formula>
    </cfRule>
    <cfRule type="containsText" dxfId="168" priority="198" operator="containsText" text="Aplicação">
      <formula>NOT(ISERROR(SEARCH("Aplicação",H59)))</formula>
    </cfRule>
  </conditionalFormatting>
  <conditionalFormatting sqref="H59:H71">
    <cfRule type="containsText" dxfId="167" priority="194" operator="containsText" text="Agenda Bloqueada">
      <formula>NOT(ISERROR(SEARCH("Agenda Bloqueada",H59)))</formula>
    </cfRule>
  </conditionalFormatting>
  <conditionalFormatting sqref="H73:H75">
    <cfRule type="containsText" dxfId="166" priority="193" operator="containsText" text="Atendimento">
      <formula>NOT(ISERROR(SEARCH("Atendimento",H73)))</formula>
    </cfRule>
  </conditionalFormatting>
  <conditionalFormatting sqref="H73:H75">
    <cfRule type="containsText" dxfId="165" priority="188" operator="containsText" text="Agenda Bloqueada">
      <formula>NOT(ISERROR(SEARCH("Agenda Bloqueada",H73)))</formula>
    </cfRule>
    <cfRule type="containsText" dxfId="164" priority="189" operator="containsText" text="Supervisão">
      <formula>NOT(ISERROR(SEARCH("Supervisão",H73)))</formula>
    </cfRule>
    <cfRule type="containsText" dxfId="163" priority="190" operator="containsText" text="Estudo">
      <formula>NOT(ISERROR(SEARCH("Estudo",H73)))</formula>
    </cfRule>
    <cfRule type="containsText" dxfId="162" priority="191" operator="containsText" text="Observação">
      <formula>NOT(ISERROR(SEARCH("Observação",H73)))</formula>
    </cfRule>
    <cfRule type="containsText" dxfId="161" priority="192" operator="containsText" text="Aplicação">
      <formula>NOT(ISERROR(SEARCH("Aplicação",H73)))</formula>
    </cfRule>
  </conditionalFormatting>
  <conditionalFormatting sqref="E3:E15">
    <cfRule type="expression" dxfId="160" priority="180">
      <formula>$H3="Agenda Bloqueada"</formula>
    </cfRule>
    <cfRule type="expression" dxfId="159" priority="182">
      <formula>$H3="Estudo"</formula>
    </cfRule>
    <cfRule type="expression" dxfId="158" priority="183">
      <formula>$H3="Observação"</formula>
    </cfRule>
    <cfRule type="expression" dxfId="157" priority="184">
      <formula>$H3="Atendimento"</formula>
    </cfRule>
    <cfRule type="expression" dxfId="156" priority="185">
      <formula>$H3="Aplicação"</formula>
    </cfRule>
    <cfRule type="expression" dxfId="155" priority="187">
      <formula>$H3="Supervisão"</formula>
    </cfRule>
  </conditionalFormatting>
  <conditionalFormatting sqref="E17:E29">
    <cfRule type="expression" dxfId="154" priority="174">
      <formula>$H17="Agenda Bloqueada"</formula>
    </cfRule>
    <cfRule type="expression" dxfId="153" priority="175">
      <formula>$H17="Estudo"</formula>
    </cfRule>
    <cfRule type="expression" dxfId="152" priority="176">
      <formula>$H17="Observação"</formula>
    </cfRule>
    <cfRule type="expression" dxfId="151" priority="177">
      <formula>$H17="Atendimento"</formula>
    </cfRule>
    <cfRule type="expression" dxfId="150" priority="178">
      <formula>$H17="Aplicação"</formula>
    </cfRule>
    <cfRule type="expression" dxfId="149" priority="179">
      <formula>$H17="Supervisão"</formula>
    </cfRule>
  </conditionalFormatting>
  <conditionalFormatting sqref="E31:E43">
    <cfRule type="expression" dxfId="148" priority="168">
      <formula>$H31="Agenda Bloqueada"</formula>
    </cfRule>
    <cfRule type="expression" dxfId="147" priority="169">
      <formula>$H31="Estudo"</formula>
    </cfRule>
    <cfRule type="expression" dxfId="146" priority="170">
      <formula>$H31="Observação"</formula>
    </cfRule>
    <cfRule type="expression" dxfId="145" priority="171">
      <formula>$H31="Atendimento"</formula>
    </cfRule>
    <cfRule type="expression" dxfId="144" priority="172">
      <formula>$H31="Aplicação"</formula>
    </cfRule>
    <cfRule type="expression" dxfId="143" priority="173">
      <formula>$H31="Supervisão"</formula>
    </cfRule>
  </conditionalFormatting>
  <conditionalFormatting sqref="E45:E57">
    <cfRule type="expression" dxfId="142" priority="156">
      <formula>$H45="Agenda Bloqueada"</formula>
    </cfRule>
    <cfRule type="expression" dxfId="141" priority="157">
      <formula>$H45="Estudo"</formula>
    </cfRule>
    <cfRule type="expression" dxfId="140" priority="158">
      <formula>$H45="Observação"</formula>
    </cfRule>
    <cfRule type="expression" dxfId="139" priority="159">
      <formula>$H45="Atendimento"</formula>
    </cfRule>
    <cfRule type="expression" dxfId="138" priority="160">
      <formula>$H45="Aplicação"</formula>
    </cfRule>
    <cfRule type="expression" dxfId="137" priority="161">
      <formula>$H45="Supervisão"</formula>
    </cfRule>
  </conditionalFormatting>
  <conditionalFormatting sqref="E59:E71">
    <cfRule type="expression" dxfId="136" priority="150">
      <formula>$H59="Agenda Bloqueada"</formula>
    </cfRule>
    <cfRule type="expression" dxfId="135" priority="151">
      <formula>$H59="Estudo"</formula>
    </cfRule>
    <cfRule type="expression" dxfId="134" priority="152">
      <formula>$H59="Observação"</formula>
    </cfRule>
    <cfRule type="expression" dxfId="133" priority="153">
      <formula>$H59="Atendimento"</formula>
    </cfRule>
    <cfRule type="expression" dxfId="132" priority="154">
      <formula>$H59="Aplicação"</formula>
    </cfRule>
    <cfRule type="expression" dxfId="131" priority="155">
      <formula>$H59="Supervisão"</formula>
    </cfRule>
  </conditionalFormatting>
  <conditionalFormatting sqref="E73:E75">
    <cfRule type="expression" dxfId="130" priority="144">
      <formula>$H73="Agenda Bloqueada"</formula>
    </cfRule>
    <cfRule type="expression" dxfId="129" priority="145">
      <formula>$H73="Estudo"</formula>
    </cfRule>
    <cfRule type="expression" dxfId="128" priority="146">
      <formula>$H73="Observação"</formula>
    </cfRule>
    <cfRule type="expression" dxfId="127" priority="147">
      <formula>$H73="Atendimento"</formula>
    </cfRule>
    <cfRule type="expression" dxfId="126" priority="148">
      <formula>$H73="Aplicação"</formula>
    </cfRule>
    <cfRule type="expression" dxfId="125" priority="149">
      <formula>$H73="Supervisão"</formula>
    </cfRule>
  </conditionalFormatting>
  <conditionalFormatting sqref="N3:N15">
    <cfRule type="expression" dxfId="124" priority="138">
      <formula>$Q3="Agenda Bloqueada"</formula>
    </cfRule>
    <cfRule type="expression" dxfId="123" priority="139">
      <formula>$Q3="Estudo"</formula>
    </cfRule>
    <cfRule type="expression" dxfId="122" priority="140">
      <formula>$Q3="Observação"</formula>
    </cfRule>
    <cfRule type="expression" dxfId="121" priority="141">
      <formula>$Q3="Atendimento"</formula>
    </cfRule>
    <cfRule type="expression" dxfId="120" priority="142">
      <formula>$Q3="Aplicação"</formula>
    </cfRule>
    <cfRule type="expression" dxfId="119" priority="143">
      <formula>$Q3="Supervisão"</formula>
    </cfRule>
  </conditionalFormatting>
  <conditionalFormatting sqref="N17:N29">
    <cfRule type="expression" dxfId="118" priority="132">
      <formula>$Q17="Agenda Bloqueada"</formula>
    </cfRule>
    <cfRule type="expression" dxfId="117" priority="133">
      <formula>$Q17="Estudo"</formula>
    </cfRule>
    <cfRule type="expression" dxfId="116" priority="134">
      <formula>$Q17="Observação"</formula>
    </cfRule>
    <cfRule type="expression" dxfId="115" priority="135">
      <formula>$Q17="Atendimento"</formula>
    </cfRule>
    <cfRule type="expression" dxfId="114" priority="136">
      <formula>$Q17="Aplicação"</formula>
    </cfRule>
    <cfRule type="expression" dxfId="113" priority="137">
      <formula>$Q17="Supervisão"</formula>
    </cfRule>
  </conditionalFormatting>
  <conditionalFormatting sqref="N31:N43">
    <cfRule type="expression" dxfId="112" priority="126">
      <formula>$Q31="Agenda Bloqueada"</formula>
    </cfRule>
    <cfRule type="expression" dxfId="111" priority="127">
      <formula>$Q31="Estudo"</formula>
    </cfRule>
    <cfRule type="expression" dxfId="110" priority="128">
      <formula>$Q31="Observação"</formula>
    </cfRule>
    <cfRule type="expression" dxfId="109" priority="129">
      <formula>$Q31="Atendimento"</formula>
    </cfRule>
    <cfRule type="expression" dxfId="108" priority="130">
      <formula>$Q31="Aplicação"</formula>
    </cfRule>
    <cfRule type="expression" dxfId="107" priority="131">
      <formula>$Q31="Supervisão"</formula>
    </cfRule>
  </conditionalFormatting>
  <conditionalFormatting sqref="N45:N57">
    <cfRule type="expression" dxfId="106" priority="120">
      <formula>$Q45="Agenda Bloqueada"</formula>
    </cfRule>
    <cfRule type="expression" dxfId="105" priority="121">
      <formula>$Q45="Estudo"</formula>
    </cfRule>
    <cfRule type="expression" dxfId="104" priority="122">
      <formula>$Q45="Observação"</formula>
    </cfRule>
    <cfRule type="expression" dxfId="103" priority="123">
      <formula>$Q45="Atendimento"</formula>
    </cfRule>
    <cfRule type="expression" dxfId="102" priority="124">
      <formula>$Q45="Aplicação"</formula>
    </cfRule>
    <cfRule type="expression" dxfId="101" priority="125">
      <formula>$Q45="Supervisão"</formula>
    </cfRule>
  </conditionalFormatting>
  <conditionalFormatting sqref="N59:N71">
    <cfRule type="expression" dxfId="100" priority="114">
      <formula>$Q59="Agenda Bloqueada"</formula>
    </cfRule>
    <cfRule type="expression" dxfId="99" priority="115">
      <formula>$Q59="Estudo"</formula>
    </cfRule>
    <cfRule type="expression" dxfId="98" priority="116">
      <formula>$Q59="Observação"</formula>
    </cfRule>
    <cfRule type="expression" dxfId="97" priority="117">
      <formula>$Q59="Atendimento"</formula>
    </cfRule>
    <cfRule type="expression" dxfId="96" priority="118">
      <formula>$Q59="Aplicação"</formula>
    </cfRule>
    <cfRule type="expression" dxfId="95" priority="119">
      <formula>$Q59="Supervisão"</formula>
    </cfRule>
  </conditionalFormatting>
  <conditionalFormatting sqref="N73:N75">
    <cfRule type="expression" dxfId="94" priority="108">
      <formula>$Q73="Agenda Bloqueada"</formula>
    </cfRule>
    <cfRule type="expression" dxfId="93" priority="109">
      <formula>$Q73="Estudo"</formula>
    </cfRule>
    <cfRule type="expression" dxfId="92" priority="110">
      <formula>$Q73="Observação"</formula>
    </cfRule>
    <cfRule type="expression" dxfId="91" priority="111">
      <formula>$Q73="Atendimento"</formula>
    </cfRule>
    <cfRule type="expression" dxfId="90" priority="112">
      <formula>$Q73="Aplicação"</formula>
    </cfRule>
    <cfRule type="expression" dxfId="89" priority="113">
      <formula>$Q73="Supervisão"</formula>
    </cfRule>
  </conditionalFormatting>
  <conditionalFormatting sqref="W3:W15 W17:W27 W29 X28">
    <cfRule type="expression" dxfId="88" priority="102">
      <formula>$Z3="Agenda Bloqueada"</formula>
    </cfRule>
    <cfRule type="expression" dxfId="87" priority="103">
      <formula>$Z3="Estudo"</formula>
    </cfRule>
    <cfRule type="expression" dxfId="86" priority="104">
      <formula>$Z3="Observação"</formula>
    </cfRule>
    <cfRule type="expression" dxfId="85" priority="105">
      <formula>$Z3="Atendimento"</formula>
    </cfRule>
    <cfRule type="expression" dxfId="84" priority="106">
      <formula>$Z3="Aplicação"</formula>
    </cfRule>
    <cfRule type="expression" dxfId="83" priority="107">
      <formula>$Z3="Supervisão"</formula>
    </cfRule>
  </conditionalFormatting>
  <conditionalFormatting sqref="W31:W43">
    <cfRule type="expression" dxfId="82" priority="90">
      <formula>$Z31="Agenda Bloqueada"</formula>
    </cfRule>
    <cfRule type="expression" dxfId="81" priority="91">
      <formula>$Z31="Estudo"</formula>
    </cfRule>
    <cfRule type="expression" dxfId="80" priority="92">
      <formula>$Z31="Observação"</formula>
    </cfRule>
    <cfRule type="expression" dxfId="79" priority="93">
      <formula>$Z31="Atendimento"</formula>
    </cfRule>
    <cfRule type="expression" dxfId="78" priority="94">
      <formula>$Z31="Aplicação"</formula>
    </cfRule>
    <cfRule type="expression" dxfId="77" priority="95">
      <formula>$Z31="Supervisão"</formula>
    </cfRule>
  </conditionalFormatting>
  <conditionalFormatting sqref="W45:W57">
    <cfRule type="expression" dxfId="76" priority="84">
      <formula>$Z45="Agenda Bloqueada"</formula>
    </cfRule>
    <cfRule type="expression" dxfId="75" priority="85">
      <formula>$Z45="Estudo"</formula>
    </cfRule>
    <cfRule type="expression" dxfId="74" priority="86">
      <formula>$Z45="Observação"</formula>
    </cfRule>
    <cfRule type="expression" dxfId="73" priority="87">
      <formula>$Z45="Atendimento"</formula>
    </cfRule>
    <cfRule type="expression" dxfId="72" priority="88">
      <formula>$Z45="Aplicação"</formula>
    </cfRule>
    <cfRule type="expression" dxfId="71" priority="89">
      <formula>$Z45="Supervisão"</formula>
    </cfRule>
  </conditionalFormatting>
  <conditionalFormatting sqref="W59:W71">
    <cfRule type="expression" dxfId="70" priority="78">
      <formula>$Z59="Agenda Bloqueada"</formula>
    </cfRule>
    <cfRule type="expression" dxfId="69" priority="79">
      <formula>$Z59="Estudo"</formula>
    </cfRule>
    <cfRule type="expression" dxfId="68" priority="80">
      <formula>$Z59="Observação"</formula>
    </cfRule>
    <cfRule type="expression" dxfId="67" priority="81">
      <formula>$Z59="Atendimento"</formula>
    </cfRule>
    <cfRule type="expression" dxfId="66" priority="82">
      <formula>$Z59="Aplicação"</formula>
    </cfRule>
    <cfRule type="expression" dxfId="65" priority="83">
      <formula>$Z59="Supervisão"</formula>
    </cfRule>
  </conditionalFormatting>
  <conditionalFormatting sqref="W73:W75">
    <cfRule type="expression" dxfId="64" priority="72">
      <formula>$Z73="Agenda Bloqueada"</formula>
    </cfRule>
    <cfRule type="expression" dxfId="63" priority="73">
      <formula>$Z73="Estudo"</formula>
    </cfRule>
    <cfRule type="expression" dxfId="62" priority="74">
      <formula>$Z73="Observação"</formula>
    </cfRule>
    <cfRule type="expression" dxfId="61" priority="75">
      <formula>$Z73="Atendimento"</formula>
    </cfRule>
    <cfRule type="expression" dxfId="60" priority="76">
      <formula>$Z73="Aplicação"</formula>
    </cfRule>
    <cfRule type="expression" dxfId="59" priority="77">
      <formula>$Z73="Supervisão"</formula>
    </cfRule>
  </conditionalFormatting>
  <conditionalFormatting sqref="AF3:AF15">
    <cfRule type="expression" dxfId="58" priority="60">
      <formula>$AI3="Agenda Bloqueada"</formula>
    </cfRule>
    <cfRule type="expression" dxfId="57" priority="61">
      <formula>$AI3="Estudo"</formula>
    </cfRule>
    <cfRule type="expression" dxfId="56" priority="62">
      <formula>$AI3="Observação"</formula>
    </cfRule>
    <cfRule type="expression" dxfId="55" priority="63">
      <formula>$AI3="Atendimento"</formula>
    </cfRule>
    <cfRule type="expression" dxfId="54" priority="64">
      <formula>$AI3="Aplicação"</formula>
    </cfRule>
    <cfRule type="expression" dxfId="53" priority="65">
      <formula>$AI3="Supervisão"</formula>
    </cfRule>
  </conditionalFormatting>
  <conditionalFormatting sqref="AF17:AF29">
    <cfRule type="expression" dxfId="52" priority="54">
      <formula>$AI17="Agenda Bloqueada"</formula>
    </cfRule>
    <cfRule type="expression" dxfId="51" priority="55">
      <formula>$AI17="Estudo"</formula>
    </cfRule>
    <cfRule type="expression" dxfId="50" priority="56">
      <formula>$AI17="Observação"</formula>
    </cfRule>
    <cfRule type="expression" dxfId="49" priority="57">
      <formula>$AI17="Atendimento"</formula>
    </cfRule>
    <cfRule type="expression" dxfId="48" priority="58">
      <formula>$AI17="Aplicação"</formula>
    </cfRule>
    <cfRule type="expression" dxfId="47" priority="59">
      <formula>$AI17="Supervisão"</formula>
    </cfRule>
  </conditionalFormatting>
  <conditionalFormatting sqref="AF31:AF43">
    <cfRule type="expression" dxfId="46" priority="48">
      <formula>$AI31="Agenda Bloqueada"</formula>
    </cfRule>
    <cfRule type="expression" dxfId="45" priority="49">
      <formula>$AI31="Estudo"</formula>
    </cfRule>
    <cfRule type="expression" dxfId="44" priority="50">
      <formula>$AI31="Observação"</formula>
    </cfRule>
    <cfRule type="expression" dxfId="43" priority="51">
      <formula>$AI31="Atendimento"</formula>
    </cfRule>
    <cfRule type="expression" dxfId="42" priority="52">
      <formula>$AI31="Aplicação"</formula>
    </cfRule>
    <cfRule type="expression" dxfId="41" priority="53">
      <formula>$AI31="Supervisão"</formula>
    </cfRule>
  </conditionalFormatting>
  <conditionalFormatting sqref="AF45:AF57">
    <cfRule type="expression" dxfId="40" priority="42">
      <formula>$AI45="Agenda Bloqueada"</formula>
    </cfRule>
    <cfRule type="expression" dxfId="39" priority="43">
      <formula>$AI45="Estudo"</formula>
    </cfRule>
    <cfRule type="expression" dxfId="38" priority="44">
      <formula>$AI45="Observação"</formula>
    </cfRule>
    <cfRule type="expression" dxfId="37" priority="45">
      <formula>$AI45="Atendimento"</formula>
    </cfRule>
    <cfRule type="expression" dxfId="36" priority="46">
      <formula>$AI45="Aplicação"</formula>
    </cfRule>
    <cfRule type="expression" dxfId="35" priority="47">
      <formula>$AI45="Supervisão"</formula>
    </cfRule>
  </conditionalFormatting>
  <conditionalFormatting sqref="AF59:AF71">
    <cfRule type="expression" dxfId="34" priority="36">
      <formula>$AI59="Agenda Bloqueada"</formula>
    </cfRule>
    <cfRule type="expression" dxfId="33" priority="37">
      <formula>$AI59="Estudo"</formula>
    </cfRule>
    <cfRule type="expression" dxfId="32" priority="38">
      <formula>$AI59="Observação"</formula>
    </cfRule>
    <cfRule type="expression" dxfId="31" priority="39">
      <formula>$AI59="Atendimento"</formula>
    </cfRule>
    <cfRule type="expression" dxfId="30" priority="40">
      <formula>$AI59="Aplicação"</formula>
    </cfRule>
    <cfRule type="expression" dxfId="29" priority="41">
      <formula>$AI59="Supervisão"</formula>
    </cfRule>
  </conditionalFormatting>
  <conditionalFormatting sqref="AF73:AF75">
    <cfRule type="expression" dxfId="28" priority="30">
      <formula>$AI73="Agenda Bloqueada"</formula>
    </cfRule>
    <cfRule type="expression" dxfId="27" priority="31">
      <formula>$AI73="Estudo"</formula>
    </cfRule>
    <cfRule type="expression" dxfId="26" priority="32">
      <formula>$AI73="Observação"</formula>
    </cfRule>
    <cfRule type="expression" dxfId="25" priority="33">
      <formula>$AI73="Atendimento"</formula>
    </cfRule>
    <cfRule type="expression" dxfId="24" priority="34">
      <formula>$AI73="Aplicação"</formula>
    </cfRule>
    <cfRule type="expression" dxfId="23" priority="35">
      <formula>$AI73="Supervisão"</formula>
    </cfRule>
  </conditionalFormatting>
  <conditionalFormatting sqref="AO3:AO15">
    <cfRule type="expression" dxfId="22" priority="24">
      <formula>$AR3="Agenda Bloqueada"</formula>
    </cfRule>
    <cfRule type="expression" dxfId="21" priority="25">
      <formula>$AR3="Estudo"</formula>
    </cfRule>
    <cfRule type="expression" dxfId="20" priority="26">
      <formula>$AR3="Observação"</formula>
    </cfRule>
    <cfRule type="expression" dxfId="19" priority="27">
      <formula>$AR3="Atendimento"</formula>
    </cfRule>
    <cfRule type="expression" dxfId="18" priority="28">
      <formula>$AR3="Aplicação"</formula>
    </cfRule>
    <cfRule type="expression" dxfId="17" priority="29">
      <formula>$AR3="Supervisão"</formula>
    </cfRule>
  </conditionalFormatting>
  <conditionalFormatting sqref="H3:H15">
    <cfRule type="containsText" dxfId="16" priority="17" operator="containsText" text="Atendimento">
      <formula>NOT(ISERROR(SEARCH("Atendimento",H3)))</formula>
    </cfRule>
  </conditionalFormatting>
  <conditionalFormatting sqref="H3:H15">
    <cfRule type="containsText" dxfId="15" priority="13" operator="containsText" text="Supervisão">
      <formula>NOT(ISERROR(SEARCH("Supervisão",H3)))</formula>
    </cfRule>
    <cfRule type="containsText" dxfId="14" priority="14" operator="containsText" text="Estudo">
      <formula>NOT(ISERROR(SEARCH("Estudo",H3)))</formula>
    </cfRule>
    <cfRule type="containsText" dxfId="13" priority="15" operator="containsText" text="Observação">
      <formula>NOT(ISERROR(SEARCH("Observação",H3)))</formula>
    </cfRule>
    <cfRule type="containsText" dxfId="12" priority="16" operator="containsText" text="Aplicação">
      <formula>NOT(ISERROR(SEARCH("Aplicação",H3)))</formula>
    </cfRule>
  </conditionalFormatting>
  <conditionalFormatting sqref="H3:H15">
    <cfRule type="containsText" dxfId="11" priority="12" operator="containsText" text="Agenda Bloqueada">
      <formula>NOT(ISERROR(SEARCH("Agenda Bloqueada",H3)))</formula>
    </cfRule>
  </conditionalFormatting>
  <conditionalFormatting sqref="AR17:AR29">
    <cfRule type="containsText" dxfId="10" priority="7" operator="containsText" text="Agenda Bloqueada">
      <formula>NOT(ISERROR(SEARCH("Agenda Bloqueada",AR17)))</formula>
    </cfRule>
    <cfRule type="containsText" dxfId="9" priority="8" operator="containsText" text="Supervisão">
      <formula>NOT(ISERROR(SEARCH("Supervisão",AR17)))</formula>
    </cfRule>
    <cfRule type="containsText" dxfId="8" priority="9" operator="containsText" text="Estudo">
      <formula>NOT(ISERROR(SEARCH("Estudo",AR17)))</formula>
    </cfRule>
    <cfRule type="containsText" dxfId="7" priority="10" operator="containsText" text="Observação">
      <formula>NOT(ISERROR(SEARCH("Observação",AR17)))</formula>
    </cfRule>
    <cfRule type="containsText" dxfId="6" priority="11" operator="containsText" text="Aplicação">
      <formula>NOT(ISERROR(SEARCH("Aplicação",AR17)))</formula>
    </cfRule>
  </conditionalFormatting>
  <conditionalFormatting sqref="AO17:AO29">
    <cfRule type="expression" dxfId="5" priority="1">
      <formula>$AR17="Agenda Bloqueada"</formula>
    </cfRule>
    <cfRule type="expression" dxfId="4" priority="2">
      <formula>$AR17="Estudo"</formula>
    </cfRule>
    <cfRule type="expression" dxfId="3" priority="3">
      <formula>$AR17="Observação"</formula>
    </cfRule>
    <cfRule type="expression" dxfId="2" priority="4">
      <formula>$AR17="Atendimento"</formula>
    </cfRule>
    <cfRule type="expression" dxfId="1" priority="5">
      <formula>$AR17="Aplicação"</formula>
    </cfRule>
    <cfRule type="expression" dxfId="0" priority="6">
      <formula>$AR17="Supervisão"</formula>
    </cfRule>
  </conditionalFormatting>
  <dataValidations count="5">
    <dataValidation type="list" allowBlank="1" showInputMessage="1" showErrorMessage="1" sqref="AF3:AF76 E3:E1048576 N3:N76 W29:W76 AO76 X28 W3:W27 AO58:AO72 AO44 AO3:AO30" xr:uid="{D7B12107-9E2C-4789-B735-A9CFEE1F5301}">
      <formula1>"Sala 03/15 Pessoas,	Sala 04/18 Pessoas,	Sala 06A/3Pessoas, Sala 06B/3Pessoas,	Sala 06C/5Pessoas,	Sala de Observação, 	Sala do(a) Estagiário(a)"</formula1>
    </dataValidation>
    <dataValidation allowBlank="1" showInputMessage="1" showErrorMessage="1" sqref="Z2 H2 AG2:AI2 O2:Q2 AP2:AR2 X2:Y76 G1:G1048576 F2:F1048576" xr:uid="{CF2B5A22-8DAF-41B1-B7F2-EC1271F65057}"/>
    <dataValidation type="list" allowBlank="1" showInputMessage="1" showErrorMessage="1" sqref="AR44 Q3:Q501 Z3:Z501 AI3:AI501 AR76:AR501 AR58:AR72 H3:H1048576 AR3:AR30" xr:uid="{BB73940B-480A-4FD9-8D4E-76278F3A1D2A}">
      <formula1>"Atendimento,  Aplicação,  Observação,  Estudo,  Supervisão,  Agenda Bloqueada"</formula1>
    </dataValidation>
    <dataValidation type="list" allowBlank="1" showInputMessage="1" showErrorMessage="1" sqref="I3:I1048576 AA3:AA501 AJ3:AJ501 R3:R501 AS77:AS501 AS72 AS58 AS44 AS3:AS30" xr:uid="{A1CCA750-824A-47F8-A2ED-DD9FBAC47C8E}">
      <formula1>"Compareceu, Faltou, Desmarcado"</formula1>
    </dataValidation>
    <dataValidation type="list" allowBlank="1" showInputMessage="1" showErrorMessage="1" sqref="E1" xr:uid="{956E5BDE-079E-4E57-A580-AE69F3092C5D}">
      <formula1>"Janeiro, Fevereiro, Março, Abril, Maio, Junho, Julho, Agosto, Setembro, Outubro, Novembro, Dezembro"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2" sqref="B12"/>
    </sheetView>
  </sheetViews>
  <sheetFormatPr defaultRowHeight="15"/>
  <cols>
    <col min="1" max="1" width="20" customWidth="1"/>
    <col min="2" max="2" width="45" customWidth="1"/>
  </cols>
  <sheetData>
    <row r="1" spans="1:2">
      <c r="A1" s="1" t="s">
        <v>9</v>
      </c>
      <c r="B1" s="1" t="s">
        <v>22</v>
      </c>
    </row>
    <row r="2" spans="1:2">
      <c r="A2" t="s">
        <v>12</v>
      </c>
      <c r="B2" t="s">
        <v>23</v>
      </c>
    </row>
    <row r="3" spans="1:2">
      <c r="A3" t="s">
        <v>20</v>
      </c>
      <c r="B3" t="s">
        <v>24</v>
      </c>
    </row>
    <row r="4" spans="1:2">
      <c r="A4" t="s">
        <v>21</v>
      </c>
      <c r="B4" t="s">
        <v>25</v>
      </c>
    </row>
    <row r="5" spans="1:2">
      <c r="A5" t="s">
        <v>26</v>
      </c>
      <c r="B5" s="19" t="s">
        <v>27</v>
      </c>
    </row>
    <row r="6" spans="1:2">
      <c r="A6" t="s">
        <v>6</v>
      </c>
      <c r="B6" s="21" t="s">
        <v>28</v>
      </c>
    </row>
    <row r="7" spans="1:2">
      <c r="A7" t="s">
        <v>29</v>
      </c>
      <c r="B7" s="17" t="s">
        <v>30</v>
      </c>
    </row>
    <row r="8" spans="1:2">
      <c r="A8" t="s">
        <v>16</v>
      </c>
      <c r="B8" s="16" t="s">
        <v>31</v>
      </c>
    </row>
    <row r="9" spans="1:2">
      <c r="A9" t="s">
        <v>32</v>
      </c>
      <c r="B9" s="20"/>
    </row>
    <row r="10" spans="1:2">
      <c r="A10" t="s">
        <v>11</v>
      </c>
      <c r="B10" s="1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3" sqref="B3"/>
    </sheetView>
  </sheetViews>
  <sheetFormatPr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7" sqref="A1:A7"/>
    </sheetView>
  </sheetViews>
  <sheetFormatPr defaultRowHeight="15"/>
  <cols>
    <col min="1" max="1" width="80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2026-05-12T20:59:17Z</dcterms:created>
  <dcterms:modified xsi:type="dcterms:W3CDTF">2026-05-15T18:52:09Z</dcterms:modified>
  <cp:category/>
  <cp:contentStatus/>
</cp:coreProperties>
</file>